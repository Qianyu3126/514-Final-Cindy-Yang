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200"/>
  </bookViews>
  <sheets>
    <sheet name="System Parameters" sheetId="1" r:id="rId1"/>
    <sheet name="Sensitivity 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<sst xmlns="http://schemas.openxmlformats.org/spreadsheetml/2006/main" count="73" uniqueCount="55">
  <si>
    <t>System Parameters (defined by hardware)</t>
  </si>
  <si>
    <t>Profiles (usage of each component mode - defined by software and usage)</t>
  </si>
  <si>
    <t>form the datasheets</t>
  </si>
  <si>
    <t>"off"</t>
  </si>
  <si>
    <t>"sensing"</t>
  </si>
  <si>
    <t>"interactive"</t>
  </si>
  <si>
    <t>Processor</t>
  </si>
  <si>
    <t>Active</t>
  </si>
  <si>
    <t>mW</t>
  </si>
  <si>
    <t>Idle</t>
  </si>
  <si>
    <t>Sleep</t>
  </si>
  <si>
    <t>LED (Neopixel)</t>
  </si>
  <si>
    <t>On</t>
  </si>
  <si>
    <t>Display (OLED)</t>
  </si>
  <si>
    <t>Off</t>
  </si>
  <si>
    <t>Display (X27 motor)</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</si>
  <si>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</si>
  <si>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</si>
  <si>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</si>
  <si>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</si>
  <si>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</si>
  <si>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</si>
  <si>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</si>
  <si>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</si>
  <si>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</si>
  <si>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</si>
  <si>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</si>
  <si>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</si>
  <si>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</si>
  <si>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</si>
  <si>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</si>
  <si>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</si>
  <si>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</si>
  <si>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</si>
  <si>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</si>
  <si>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</si>
  <si>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</si>
  <si>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</si>
  <si>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</si>
  <si>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t>By analyzing the power consumption of the display device, I found that the stepper motor and visual outputs dominate the overall energy usage, while the processor and sensor-related activities contribute relatively little. The “days of use” metric was calculated by combining the average power consumption of three usage profiles based on their typical daily durations, and comparing the total daily energy demand to the effective battery capacity. With a 2000 mAh battery, the device achieves approximately 4.8 days of use, which is suitable for a desktop device that is not expected to be recharged frequently. An optimal battery size is therefore around 2000 mAh, as smaller batteries would noticeably reduce usability while larger ones would increase cost and size with limited benefit. To improve the user experience, software tradeoffs such as reducing motor movement frequency, limiting OLED on-time, or dimming the NeoPixel could significantly extend battery life with minimal cost. Hardware improvements, such as using a more efficient motor driver or power regulation, could further reduce power consumption but would increase design complexity and cost.</t>
  </si>
  <si>
    <t>Linked Data from First Page DO NOT EDIT</t>
  </si>
  <si>
    <t>% change</t>
  </si>
  <si>
    <t>Parameter Name</t>
  </si>
  <si>
    <t>ProcessorActive</t>
  </si>
  <si>
    <t>ProcessorIdle</t>
  </si>
  <si>
    <t>ProcessorOff</t>
  </si>
  <si>
    <t>LEDOn</t>
  </si>
  <si>
    <t>MotorOn</t>
  </si>
  <si>
    <t>SensorIdle</t>
  </si>
  <si>
    <t>MotorOff</t>
  </si>
  <si>
    <t>OLEDOn</t>
  </si>
  <si>
    <t>OLEDOff</t>
  </si>
  <si>
    <t>RadioStandby</t>
  </si>
  <si>
    <t>RadioTX</t>
  </si>
  <si>
    <t>RadioRX</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</si>
</sst>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4">
    <font>
      <sz val="10"/>
      <color rgb="FF000000"/>
      <name val="Arial"/>
      <charset val="134"/>
      <scheme val="minor"/>
    </font>
    <font>
      <sz val="10"/>
      <color theme="1"/>
      <name val="Arial"/>
      <charset val="134"/>
      <scheme val="minor"/>
    </font>
    <font>
      <b/>
      <sz val="10"/>
      <color theme="1"/>
      <name val="Arial"/>
      <charset val="134"/>
      <scheme val="minor"/>
    </font>
    <font>
      <sz val="11"/>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0" applyNumberFormat="0" applyFill="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2" fillId="0" borderId="0" applyNumberFormat="0" applyFill="0" applyBorder="0" applyAlignment="0" applyProtection="0">
      <alignment vertical="center"/>
    </xf>
    <xf numFmtId="0" fontId="13" fillId="6" borderId="12" applyNumberFormat="0" applyAlignment="0" applyProtection="0">
      <alignment vertical="center"/>
    </xf>
    <xf numFmtId="0" fontId="14" fillId="7" borderId="13" applyNumberFormat="0" applyAlignment="0" applyProtection="0">
      <alignment vertical="center"/>
    </xf>
    <xf numFmtId="0" fontId="15" fillId="7" borderId="12" applyNumberFormat="0" applyAlignment="0" applyProtection="0">
      <alignment vertical="center"/>
    </xf>
    <xf numFmtId="0" fontId="16" fillId="8" borderId="14" applyNumberFormat="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26">
    <xf numFmtId="0" fontId="0" fillId="0" borderId="0" xfId="0"/>
    <xf numFmtId="0" fontId="1" fillId="0" borderId="0" xfId="0" applyFont="1"/>
    <xf numFmtId="1" fontId="1" fillId="0" borderId="0" xfId="0" applyNumberFormat="1" applyFont="1"/>
    <xf numFmtId="9" fontId="1" fillId="0" borderId="0" xfId="0" applyNumberFormat="1" applyFont="1"/>
    <xf numFmtId="10" fontId="1"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2" fillId="0" borderId="4" xfId="0" applyFont="1" applyBorder="1"/>
    <xf numFmtId="0" fontId="2" fillId="0" borderId="0" xfId="0" applyFont="1"/>
    <xf numFmtId="0" fontId="1" fillId="0" borderId="5" xfId="0" applyFont="1" applyBorder="1"/>
    <xf numFmtId="0" fontId="1" fillId="0" borderId="4" xfId="0" applyFont="1" applyBorder="1"/>
    <xf numFmtId="0" fontId="3" fillId="0" borderId="0" xfId="0" applyFont="1"/>
    <xf numFmtId="1" fontId="3" fillId="2" borderId="0" xfId="0" applyNumberFormat="1" applyFont="1" applyFill="1"/>
    <xf numFmtId="9" fontId="1" fillId="2" borderId="0" xfId="0" applyNumberFormat="1" applyFont="1" applyFill="1"/>
    <xf numFmtId="1" fontId="1" fillId="2" borderId="0" xfId="0" applyNumberFormat="1" applyFont="1" applyFill="1"/>
    <xf numFmtId="3" fontId="1" fillId="2" borderId="0" xfId="0" applyNumberFormat="1" applyFont="1" applyFill="1"/>
    <xf numFmtId="0" fontId="1" fillId="3" borderId="0" xfId="0" applyFont="1" applyFill="1"/>
    <xf numFmtId="178" fontId="1" fillId="3" borderId="0" xfId="0" applyNumberFormat="1" applyFont="1" applyFill="1"/>
    <xf numFmtId="0" fontId="1" fillId="2" borderId="0" xfId="0" applyFont="1" applyFill="1"/>
    <xf numFmtId="0" fontId="2" fillId="4" borderId="0" xfId="0" applyFont="1" applyFill="1"/>
    <xf numFmtId="2" fontId="2" fillId="4" borderId="0" xfId="0" applyNumberFormat="1" applyFont="1" applyFill="1"/>
    <xf numFmtId="0" fontId="1" fillId="0" borderId="6" xfId="0" applyFont="1" applyBorder="1"/>
    <xf numFmtId="0" fontId="1" fillId="0" borderId="7" xfId="0" applyFont="1" applyBorder="1"/>
    <xf numFmtId="0" fontId="1" fillId="0" borderId="8" xfId="0" applyFont="1" applyBorder="1"/>
    <xf numFmtId="0" fontId="0" fillId="0" borderId="0" xfId="0"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zh-CN" sz="1800" b="0" i="0" u="none" strike="noStrike" kern="1200" baseline="0">
                <a:solidFill>
                  <a:srgbClr val="757575"/>
                </a:solidFill>
                <a:latin typeface="+mn-lt"/>
                <a:ea typeface="+mn-ea"/>
                <a:cs typeface="+mn-cs"/>
              </a:defRPr>
            </a:pPr>
            <a:r>
              <a:rPr lang="en-US" b="0">
                <a:solidFill>
                  <a:srgbClr val="757575"/>
                </a:solidFill>
                <a:latin typeface="+mn-lt"/>
              </a:rPr>
              <a:t>Sensitivity Analysis</a:t>
            </a:r>
            <a:endParaRPr lang="en-US" b="0">
              <a:solidFill>
                <a:srgbClr val="757575"/>
              </a:solidFill>
              <a:latin typeface="+mn-lt"/>
            </a:endParaRPr>
          </a:p>
        </c:rich>
      </c:tx>
      <c:layout/>
      <c:overlay val="0"/>
    </c:title>
    <c:autoTitleDeleted val="0"/>
    <c:plotArea>
      <c:layout/>
      <c:barChart>
        <c:barDir val="col"/>
        <c:grouping val="clustered"/>
        <c:varyColors val="0"/>
        <c:ser>
          <c:idx val="0"/>
          <c:order val="0"/>
          <c:invertIfNegative val="0"/>
          <c:dLbls>
            <c:delete val="1"/>
          </c:dLbls>
          <c:cat>
            <c:strRef>
              <c:extLst>
                <c:ext xmlns:c15="http://schemas.microsoft.com/office/drawing/2012/chart" uri="{02D57815-91ED-43cb-92C2-25804820EDAC}">
                  <c15:fullRef>
                    <c15:sqref>'Sensitivity Analysis'!$D$99:$O$99</c15:sqref>
                  </c15:fullRef>
                </c:ext>
              </c:extLst>
              <c:f>('Sensitivity Analysis'!$D$99:$H$99,'Sensitivity Analysis'!$J$99:$O$99)</c:f>
              <c:strCache>
                <c:ptCount val="11"/>
                <c:pt idx="0">
                  <c:v>ProcessorActive</c:v>
                </c:pt>
                <c:pt idx="1">
                  <c:v>ProcessorIdle</c:v>
                </c:pt>
                <c:pt idx="2">
                  <c:v>ProcessorOff</c:v>
                </c:pt>
                <c:pt idx="3">
                  <c:v>LEDOn</c:v>
                </c:pt>
                <c:pt idx="4">
                  <c:v>MotorOn</c:v>
                </c:pt>
                <c:pt idx="5">
                  <c:v>MotorOff</c:v>
                </c:pt>
                <c:pt idx="6">
                  <c:v>OLEDOn</c:v>
                </c:pt>
                <c:pt idx="7">
                  <c:v>OLEDOff</c:v>
                </c:pt>
                <c:pt idx="8">
                  <c:v>RadioStandby</c:v>
                </c:pt>
                <c:pt idx="9">
                  <c:v>RadioTX</c:v>
                </c:pt>
                <c:pt idx="10">
                  <c:v>RadioRX</c:v>
                </c:pt>
              </c:strCache>
            </c:strRef>
          </c:cat>
          <c:val>
            <c:numRef>
              <c:extLst>
                <c:ext xmlns:c15="http://schemas.microsoft.com/office/drawing/2012/chart" uri="{02D57815-91ED-43cb-92C2-25804820EDAC}">
                  <c15:fullRef>
                    <c15:sqref>'Sensitivity Analysis'!$D$98:$O$98</c15:sqref>
                  </c15:fullRef>
                </c:ext>
              </c:extLst>
              <c:f>('Sensitivity Analysis'!$D$98:$H$98,'Sensitivity Analysis'!$J$98:$O$98)</c:f>
              <c:numCache>
                <c:formatCode>0.00%</c:formatCode>
                <c:ptCount val="11"/>
                <c:pt idx="0">
                  <c:v>0.0049823276412726</c:v>
                </c:pt>
                <c:pt idx="1">
                  <c:v>0.00867205759197542</c:v>
                </c:pt>
                <c:pt idx="2">
                  <c:v>0.001866204879033</c:v>
                </c:pt>
                <c:pt idx="3">
                  <c:v>0.015179134227159</c:v>
                </c:pt>
                <c:pt idx="4">
                  <c:v>0.0153348100187425</c:v>
                </c:pt>
                <c:pt idx="5">
                  <c:v>0.001866204879033</c:v>
                </c:pt>
                <c:pt idx="6">
                  <c:v>0.00556868039149494</c:v>
                </c:pt>
                <c:pt idx="7">
                  <c:v>0.001933585540143</c:v>
                </c:pt>
                <c:pt idx="8">
                  <c:v>0.0416147738346506</c:v>
                </c:pt>
                <c:pt idx="9">
                  <c:v>0.00336757029803003</c:v>
                </c:pt>
                <c:pt idx="10">
                  <c:v>0.00189147156487746</c:v>
                </c:pt>
              </c:numCache>
            </c:numRef>
          </c:val>
        </c:ser>
        <c:dLbls>
          <c:showLegendKey val="0"/>
          <c:showVal val="0"/>
          <c:showCatName val="0"/>
          <c:showSerName val="0"/>
          <c:showPercent val="0"/>
          <c:showBubbleSize val="0"/>
        </c:dLbls>
        <c:gapWidth val="150"/>
        <c:axId val="971185811"/>
        <c:axId val="1742482868"/>
      </c:barChart>
      <c:catAx>
        <c:axId val="971185811"/>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rgbClr val="000000"/>
                </a:solidFill>
                <a:latin typeface="+mn-lt"/>
                <a:ea typeface="+mn-ea"/>
                <a:cs typeface="+mn-cs"/>
              </a:defRPr>
            </a:pPr>
          </a:p>
        </c:txPr>
        <c:crossAx val="1742482868"/>
        <c:crosses val="autoZero"/>
        <c:auto val="1"/>
        <c:lblAlgn val="ctr"/>
        <c:lblOffset val="100"/>
        <c:noMultiLvlLbl val="0"/>
      </c:catAx>
      <c:valAx>
        <c:axId val="1742482868"/>
        <c:scaling>
          <c:orientation val="minMax"/>
        </c:scaling>
        <c:delete val="0"/>
        <c:axPos val="l"/>
        <c:numFmt formatCode="0.00%" sourceLinked="1"/>
        <c:majorTickMark val="out"/>
        <c:minorTickMark val="none"/>
        <c:tickLblPos val="nextTo"/>
        <c:spPr>
          <a:ln w="6350"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971185811"/>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9c486cc1-3671-431e-a992-76afbf049aaa}"/>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zh-CN" sz="1800" b="0" i="0" u="none" strike="noStrike" kern="1200" baseline="0">
                <a:solidFill>
                  <a:srgbClr val="757575"/>
                </a:solidFill>
                <a:latin typeface="+mn-lt"/>
                <a:ea typeface="+mn-ea"/>
                <a:cs typeface="+mn-cs"/>
              </a:defRPr>
            </a:pPr>
            <a:r>
              <a:rPr lang="en-US" b="0">
                <a:solidFill>
                  <a:srgbClr val="757575"/>
                </a:solidFill>
                <a:latin typeface="+mn-lt"/>
              </a:rPr>
              <a:t>Sensitivity Analysis</a:t>
            </a:r>
            <a:endParaRPr lang="en-US" b="0">
              <a:solidFill>
                <a:srgbClr val="757575"/>
              </a:solidFill>
              <a:latin typeface="+mn-lt"/>
            </a:endParaRPr>
          </a:p>
        </c:rich>
      </c:tx>
      <c:layout/>
      <c:overlay val="0"/>
    </c:title>
    <c:autoTitleDeleted val="0"/>
    <c:plotArea>
      <c:layout/>
      <c:barChart>
        <c:barDir val="col"/>
        <c:grouping val="clustered"/>
        <c:varyColors val="0"/>
        <c:ser>
          <c:idx val="0"/>
          <c:order val="0"/>
          <c:invertIfNegative val="0"/>
          <c:dLbls>
            <c:delete val="1"/>
          </c:dLbls>
          <c:cat>
            <c:strRef>
              <c:f>'Sensitivity Analysis'!$D$99:$O$99</c:f>
              <c:strCache>
                <c:ptCount val="12"/>
                <c:pt idx="0">
                  <c:v>ProcessorActive</c:v>
                </c:pt>
                <c:pt idx="1">
                  <c:v>ProcessorIdle</c:v>
                </c:pt>
                <c:pt idx="2">
                  <c:v>ProcessorOff</c:v>
                </c:pt>
                <c:pt idx="3">
                  <c:v>LEDOn</c:v>
                </c:pt>
                <c:pt idx="4">
                  <c:v>MotorOn</c:v>
                </c:pt>
                <c:pt idx="5">
                  <c:v>SensorIdle</c:v>
                </c:pt>
                <c:pt idx="6">
                  <c:v>MotorOff</c:v>
                </c:pt>
                <c:pt idx="7">
                  <c:v>OLEDOn</c:v>
                </c:pt>
                <c:pt idx="8">
                  <c:v>OLEDOff</c:v>
                </c:pt>
                <c:pt idx="9">
                  <c:v>RadioStandby</c:v>
                </c:pt>
                <c:pt idx="10">
                  <c:v>RadioTX</c:v>
                </c:pt>
                <c:pt idx="11">
                  <c:v>RadioRX</c:v>
                </c:pt>
              </c:strCache>
            </c:strRef>
          </c:cat>
          <c:val>
            <c:numRef>
              <c:f>'Sensitivity Analysis'!$D$98:$O$98</c:f>
              <c:numCache>
                <c:formatCode>0.00%</c:formatCode>
                <c:ptCount val="12"/>
                <c:pt idx="0">
                  <c:v>0.0049823276412726</c:v>
                </c:pt>
                <c:pt idx="1">
                  <c:v>0.00867205759197542</c:v>
                </c:pt>
                <c:pt idx="2">
                  <c:v>0.001866204879033</c:v>
                </c:pt>
                <c:pt idx="3">
                  <c:v>0.015179134227159</c:v>
                </c:pt>
                <c:pt idx="4">
                  <c:v>0.0153348100187425</c:v>
                </c:pt>
                <c:pt idx="5">
                  <c:v>0</c:v>
                </c:pt>
                <c:pt idx="6">
                  <c:v>0.001866204879033</c:v>
                </c:pt>
                <c:pt idx="7">
                  <c:v>0.00556868039149494</c:v>
                </c:pt>
                <c:pt idx="8">
                  <c:v>0.001933585540143</c:v>
                </c:pt>
                <c:pt idx="9">
                  <c:v>0.0416147738346506</c:v>
                </c:pt>
                <c:pt idx="10">
                  <c:v>0.00336757029803003</c:v>
                </c:pt>
                <c:pt idx="11">
                  <c:v>0.00189147156487746</c:v>
                </c:pt>
              </c:numCache>
            </c:numRef>
          </c:val>
        </c:ser>
        <c:dLbls>
          <c:showLegendKey val="0"/>
          <c:showVal val="0"/>
          <c:showCatName val="0"/>
          <c:showSerName val="0"/>
          <c:showPercent val="0"/>
          <c:showBubbleSize val="0"/>
        </c:dLbls>
        <c:gapWidth val="150"/>
        <c:axId val="1439421429"/>
        <c:axId val="586397943"/>
      </c:barChart>
      <c:catAx>
        <c:axId val="1439421429"/>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rgbClr val="000000"/>
                </a:solidFill>
                <a:latin typeface="+mn-lt"/>
                <a:ea typeface="+mn-ea"/>
                <a:cs typeface="+mn-cs"/>
              </a:defRPr>
            </a:pPr>
          </a:p>
        </c:txPr>
        <c:crossAx val="586397943"/>
        <c:crosses val="autoZero"/>
        <c:auto val="1"/>
        <c:lblAlgn val="ctr"/>
        <c:lblOffset val="100"/>
        <c:noMultiLvlLbl val="0"/>
      </c:catAx>
      <c:valAx>
        <c:axId val="586397943"/>
        <c:scaling>
          <c:orientation val="minMax"/>
        </c:scaling>
        <c:delete val="0"/>
        <c:axPos val="l"/>
        <c:numFmt formatCode="0.00%" sourceLinked="1"/>
        <c:majorTickMark val="out"/>
        <c:minorTickMark val="none"/>
        <c:tickLblPos val="nextTo"/>
        <c:spPr>
          <a:ln w="6350"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439421429"/>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0e0fb77c-de7e-481b-b5ee-affdf18ca750}"/>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0</xdr:colOff>
      <xdr:row>0</xdr:row>
      <xdr:rowOff>180975</xdr:rowOff>
    </xdr:from>
    <xdr:ext cx="6743700" cy="4171950"/>
    <xdr:graphicFrame>
      <xdr:nvGraphicFramePr>
        <xdr:cNvPr id="2" name="Chart 1" title="Chart"/>
        <xdr:cNvGraphicFramePr/>
      </xdr:nvGraphicFramePr>
      <xdr:xfrm>
        <a:off x="9207500" y="180975"/>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361950</xdr:colOff>
      <xdr:row>7</xdr:row>
      <xdr:rowOff>95250</xdr:rowOff>
    </xdr:from>
    <xdr:ext cx="3086100" cy="638175"/>
    <xdr:sp>
      <xdr:nvSpPr>
        <xdr:cNvPr id="3" name="Shape 3"/>
        <xdr:cNvSpPr txBox="1"/>
      </xdr:nvSpPr>
      <xdr:spPr>
        <a:xfrm>
          <a:off x="11334750" y="1495425"/>
          <a:ext cx="3086100" cy="63817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657225</xdr:colOff>
      <xdr:row>2</xdr:row>
      <xdr:rowOff>171450</xdr:rowOff>
    </xdr:from>
    <xdr:ext cx="6743700" cy="4171950"/>
    <xdr:graphicFrame>
      <xdr:nvGraphicFramePr>
        <xdr:cNvPr id="2" name="Chart 2" title="Chart"/>
        <xdr:cNvGraphicFramePr/>
      </xdr:nvGraphicFramePr>
      <xdr:xfrm>
        <a:off x="657225" y="571500"/>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209925" y="1847850"/>
          <a:ext cx="3371850" cy="84772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“hours” of use changes by x%</a:t>
          </a:r>
          <a:endParaRPr sz="1400"/>
        </a:p>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Q39"/>
  <sheetViews>
    <sheetView tabSelected="1" topLeftCell="A16" workbookViewId="0">
      <selection activeCell="C41" sqref="C41"/>
    </sheetView>
  </sheetViews>
  <sheetFormatPr defaultColWidth="12.6363636363636" defaultRowHeight="15.75" customHeight="1"/>
  <cols>
    <col min="1" max="1" width="18" customWidth="1"/>
    <col min="5" max="5" width="12.7272727272727" customWidth="1"/>
  </cols>
  <sheetData>
    <row r="2" customHeight="1" spans="1:9">
      <c r="A2" s="5"/>
      <c r="B2" s="6"/>
      <c r="C2" s="6"/>
      <c r="D2" s="6"/>
      <c r="E2" s="6"/>
      <c r="F2" s="6"/>
      <c r="G2" s="6"/>
      <c r="H2" s="6"/>
      <c r="I2" s="7"/>
    </row>
    <row r="3" customHeight="1" spans="1:9">
      <c r="A3" s="8" t="s">
        <v>0</v>
      </c>
      <c r="E3" s="9" t="s">
        <v>1</v>
      </c>
      <c r="I3" s="10"/>
    </row>
    <row r="4" customHeight="1" spans="1:9">
      <c r="A4" s="11"/>
      <c r="B4" s="12" t="s">
        <v>2</v>
      </c>
      <c r="I4" s="10"/>
    </row>
    <row r="5" customHeight="1" spans="1:9">
      <c r="A5" s="11"/>
      <c r="E5" s="1" t="s">
        <v>3</v>
      </c>
      <c r="F5" s="1" t="s">
        <v>4</v>
      </c>
      <c r="G5" s="1" t="s">
        <v>5</v>
      </c>
      <c r="I5" s="10"/>
    </row>
    <row r="6" customHeight="1" spans="1:9">
      <c r="A6" s="8" t="s">
        <v>6</v>
      </c>
      <c r="I6" s="10"/>
    </row>
    <row r="7" customHeight="1" spans="1:9">
      <c r="A7" s="11" t="s">
        <v>7</v>
      </c>
      <c r="B7" s="13">
        <v>90.9</v>
      </c>
      <c r="C7" s="1" t="s">
        <v>8</v>
      </c>
      <c r="E7" s="14">
        <v>0</v>
      </c>
      <c r="F7" s="14">
        <v>0.05</v>
      </c>
      <c r="G7" s="14">
        <v>0.4</v>
      </c>
      <c r="I7" s="10"/>
    </row>
    <row r="8" customHeight="1" spans="1:9">
      <c r="A8" s="11" t="s">
        <v>9</v>
      </c>
      <c r="B8" s="15">
        <v>89.1</v>
      </c>
      <c r="C8" s="1" t="s">
        <v>8</v>
      </c>
      <c r="E8" s="14">
        <v>0</v>
      </c>
      <c r="F8" s="14">
        <v>0.15</v>
      </c>
      <c r="G8" s="14">
        <v>0.4</v>
      </c>
      <c r="I8" s="10"/>
    </row>
    <row r="9" customHeight="1" spans="1:9">
      <c r="A9" s="11" t="s">
        <v>10</v>
      </c>
      <c r="B9" s="15">
        <v>1</v>
      </c>
      <c r="C9" s="1" t="s">
        <v>8</v>
      </c>
      <c r="E9" s="14">
        <v>1</v>
      </c>
      <c r="F9" s="14">
        <v>0.8</v>
      </c>
      <c r="G9" s="14">
        <v>0.2</v>
      </c>
      <c r="I9" s="10"/>
    </row>
    <row r="10" customHeight="1" spans="1:9">
      <c r="A10" s="11"/>
      <c r="I10" s="10"/>
    </row>
    <row r="11" customHeight="1" spans="1:9">
      <c r="A11" s="8" t="s">
        <v>11</v>
      </c>
      <c r="I11" s="10"/>
    </row>
    <row r="12" customHeight="1" spans="1:9">
      <c r="A12" s="11" t="s">
        <v>12</v>
      </c>
      <c r="B12" s="15">
        <v>198</v>
      </c>
      <c r="C12" s="1" t="s">
        <v>8</v>
      </c>
      <c r="E12" s="14">
        <v>0</v>
      </c>
      <c r="F12" s="14">
        <v>0.1</v>
      </c>
      <c r="G12" s="14">
        <v>0.4</v>
      </c>
      <c r="I12" s="10"/>
    </row>
    <row r="13" customHeight="1" spans="1:9">
      <c r="A13" s="11"/>
      <c r="B13" s="2"/>
      <c r="I13" s="10"/>
    </row>
    <row r="14" customHeight="1" spans="1:9">
      <c r="A14" s="11"/>
      <c r="B14" s="2"/>
      <c r="I14" s="10"/>
    </row>
    <row r="15" customHeight="1" spans="1:9">
      <c r="A15" s="8" t="s">
        <v>13</v>
      </c>
      <c r="B15" s="2"/>
      <c r="I15" s="10"/>
    </row>
    <row r="16" customHeight="1" spans="1:9">
      <c r="A16" s="11" t="s">
        <v>12</v>
      </c>
      <c r="B16" s="15">
        <v>100</v>
      </c>
      <c r="C16" s="1" t="s">
        <v>8</v>
      </c>
      <c r="E16" s="14">
        <v>0</v>
      </c>
      <c r="F16" s="14">
        <v>0.2</v>
      </c>
      <c r="G16" s="14">
        <v>0.8</v>
      </c>
      <c r="I16" s="10"/>
    </row>
    <row r="17" customHeight="1" spans="1:17">
      <c r="A17" s="11"/>
      <c r="B17" s="15"/>
      <c r="C17" s="1"/>
      <c r="E17" s="14"/>
      <c r="F17" s="14"/>
      <c r="G17" s="14"/>
      <c r="I17" s="10"/>
    </row>
    <row r="18" customHeight="1" spans="1:17">
      <c r="A18" s="11" t="s">
        <v>14</v>
      </c>
      <c r="B18" s="15">
        <v>1</v>
      </c>
      <c r="C18" s="1" t="s">
        <v>8</v>
      </c>
      <c r="E18" s="14">
        <v>1</v>
      </c>
      <c r="F18" s="14">
        <v>0.8</v>
      </c>
      <c r="G18" s="14">
        <v>0.2</v>
      </c>
      <c r="I18" s="10"/>
    </row>
    <row r="19" customHeight="1" spans="1:17">
      <c r="A19" s="11"/>
      <c r="B19" s="2"/>
      <c r="I19" s="10"/>
    </row>
    <row r="20" customHeight="1" spans="1:17">
      <c r="A20" s="8" t="s">
        <v>15</v>
      </c>
      <c r="B20" s="2"/>
      <c r="I20" s="10"/>
    </row>
    <row r="21" customHeight="1" spans="1:17">
      <c r="A21" s="11" t="s">
        <v>12</v>
      </c>
      <c r="B21" s="15">
        <v>66</v>
      </c>
      <c r="C21" s="1" t="s">
        <v>8</v>
      </c>
      <c r="E21" s="14">
        <v>0</v>
      </c>
      <c r="F21" s="14">
        <v>0</v>
      </c>
      <c r="G21" s="14">
        <v>1</v>
      </c>
      <c r="I21" s="10"/>
    </row>
    <row r="22" customHeight="1" spans="1:17">
      <c r="A22" s="11" t="s">
        <v>16</v>
      </c>
      <c r="B22" s="15">
        <v>1</v>
      </c>
      <c r="C22" s="1" t="s">
        <v>8</v>
      </c>
      <c r="E22" s="14">
        <v>1</v>
      </c>
      <c r="F22" s="14">
        <v>1</v>
      </c>
      <c r="G22" s="14">
        <v>0</v>
      </c>
      <c r="I22" s="10"/>
    </row>
    <row r="23" customHeight="1" spans="1:17">
      <c r="A23" s="11"/>
      <c r="I23" s="10"/>
    </row>
    <row r="24" customHeight="1" spans="1:17">
      <c r="A24" s="8" t="s">
        <v>17</v>
      </c>
      <c r="I24" s="10"/>
      <c r="K24" s="5"/>
      <c r="L24" s="6"/>
      <c r="M24" s="6"/>
      <c r="N24" s="6"/>
      <c r="O24" s="6"/>
      <c r="P24" s="6"/>
      <c r="Q24" s="7"/>
    </row>
    <row r="25" customHeight="1" spans="1:17">
      <c r="A25" s="11" t="s">
        <v>18</v>
      </c>
      <c r="B25" s="16">
        <v>200</v>
      </c>
      <c r="C25" s="1" t="s">
        <v>19</v>
      </c>
      <c r="E25" s="14">
        <v>0</v>
      </c>
      <c r="F25" s="14">
        <v>0</v>
      </c>
      <c r="G25" s="14">
        <v>0</v>
      </c>
      <c r="I25" s="10"/>
      <c r="K25" s="11"/>
      <c r="L25" s="17" t="s">
        <v>20</v>
      </c>
      <c r="M25" s="17"/>
      <c r="N25" s="17"/>
      <c r="O25" s="17" t="s">
        <v>21</v>
      </c>
      <c r="P25" s="17"/>
      <c r="Q25" s="10"/>
    </row>
    <row r="26" customHeight="1" spans="1:17">
      <c r="A26" s="11" t="s">
        <v>22</v>
      </c>
      <c r="B26" s="15">
        <v>89</v>
      </c>
      <c r="C26" s="1" t="s">
        <v>8</v>
      </c>
      <c r="E26" s="14">
        <v>0</v>
      </c>
      <c r="F26" s="14">
        <v>0.95</v>
      </c>
      <c r="G26" s="14">
        <v>0.6</v>
      </c>
      <c r="I26" s="10"/>
      <c r="K26" s="11"/>
      <c r="L26" s="17" t="str">
        <f>E5</f>
        <v>"off"</v>
      </c>
      <c r="M26" s="17">
        <f>SUMPRODUCT(B7:B28,E7:E28)</f>
        <v>3</v>
      </c>
      <c r="N26" s="17" t="s">
        <v>8</v>
      </c>
      <c r="O26" s="18">
        <f t="shared" ref="O26:O28" si="0">$M$31/M26</f>
        <v>1900</v>
      </c>
      <c r="P26" s="17" t="s">
        <v>23</v>
      </c>
      <c r="Q26" s="10"/>
    </row>
    <row r="27" customHeight="1" spans="1:17">
      <c r="A27" s="11" t="s">
        <v>24</v>
      </c>
      <c r="B27" s="15">
        <v>100</v>
      </c>
      <c r="C27" s="1" t="s">
        <v>8</v>
      </c>
      <c r="E27" s="14">
        <v>0</v>
      </c>
      <c r="F27" s="14">
        <v>0.03</v>
      </c>
      <c r="G27" s="14">
        <v>0.25</v>
      </c>
      <c r="I27" s="10"/>
      <c r="K27" s="11"/>
      <c r="L27" s="17" t="str">
        <f>F5</f>
        <v>"sensing"</v>
      </c>
      <c r="M27" s="17">
        <f>SUMPRODUCT(B7:B28,F7:F28)</f>
        <v>149.66</v>
      </c>
      <c r="N27" s="17" t="s">
        <v>8</v>
      </c>
      <c r="O27" s="18">
        <f t="shared" si="0"/>
        <v>38.0863290124282</v>
      </c>
      <c r="P27" s="17" t="s">
        <v>23</v>
      </c>
      <c r="Q27" s="10"/>
    </row>
    <row r="28" customHeight="1" spans="1:17">
      <c r="A28" s="11" t="s">
        <v>25</v>
      </c>
      <c r="B28" s="15">
        <v>90</v>
      </c>
      <c r="C28" s="1" t="s">
        <v>8</v>
      </c>
      <c r="E28" s="14">
        <v>0</v>
      </c>
      <c r="F28" s="14">
        <v>0.02</v>
      </c>
      <c r="G28" s="14">
        <v>0.15</v>
      </c>
      <c r="I28" s="10"/>
      <c r="K28" s="11"/>
      <c r="L28" s="17" t="str">
        <f>G5</f>
        <v>"interactive"</v>
      </c>
      <c r="M28" s="17">
        <f>SUMPRODUCT(B7:B28,G7:G28)</f>
        <v>389.5</v>
      </c>
      <c r="N28" s="17" t="s">
        <v>8</v>
      </c>
      <c r="O28" s="18">
        <f t="shared" si="0"/>
        <v>14.6341463414634</v>
      </c>
      <c r="P28" s="17" t="s">
        <v>23</v>
      </c>
      <c r="Q28" s="10"/>
    </row>
    <row r="29" customHeight="1" spans="1:17">
      <c r="A29" s="11"/>
      <c r="I29" s="10"/>
      <c r="K29" s="11"/>
      <c r="Q29" s="10"/>
    </row>
    <row r="30" customHeight="1" spans="1:17">
      <c r="A30" s="8"/>
      <c r="E30" s="19">
        <v>18</v>
      </c>
      <c r="F30" s="19">
        <v>5</v>
      </c>
      <c r="G30" s="19">
        <v>1</v>
      </c>
      <c r="H30" s="1" t="s">
        <v>26</v>
      </c>
      <c r="I30" s="10"/>
      <c r="K30" s="11"/>
      <c r="L30" s="1" t="s">
        <v>27</v>
      </c>
      <c r="Q30" s="10"/>
    </row>
    <row r="31" customHeight="1" spans="1:17">
      <c r="A31" s="8" t="s">
        <v>28</v>
      </c>
      <c r="I31" s="10"/>
      <c r="K31" s="11"/>
      <c r="M31" s="1">
        <f>B32*B33*B34</f>
        <v>5700</v>
      </c>
      <c r="N31" s="1" t="s">
        <v>29</v>
      </c>
      <c r="Q31" s="10"/>
    </row>
    <row r="32" customHeight="1" spans="1:17">
      <c r="A32" s="11" t="s">
        <v>30</v>
      </c>
      <c r="B32" s="15">
        <v>2000</v>
      </c>
      <c r="C32" s="1" t="s">
        <v>31</v>
      </c>
      <c r="I32" s="10"/>
      <c r="K32" s="11"/>
      <c r="Q32" s="10"/>
    </row>
    <row r="33" customHeight="1" spans="1:17">
      <c r="A33" s="11" t="s">
        <v>32</v>
      </c>
      <c r="B33" s="15">
        <v>3</v>
      </c>
      <c r="C33" s="1" t="s">
        <v>33</v>
      </c>
      <c r="I33" s="10"/>
      <c r="K33" s="11"/>
      <c r="L33" s="20" t="s">
        <v>34</v>
      </c>
      <c r="M33" s="21">
        <f>M31/(E30*M26+F30*M27+G30*M28)</f>
        <v>4.78268165799631</v>
      </c>
      <c r="N33" s="20" t="s">
        <v>35</v>
      </c>
      <c r="Q33" s="10"/>
    </row>
    <row r="34" customHeight="1" spans="1:17">
      <c r="A34" s="11" t="s">
        <v>36</v>
      </c>
      <c r="B34" s="14">
        <v>0.95</v>
      </c>
      <c r="I34" s="10"/>
      <c r="K34" s="11"/>
      <c r="L34" s="20" t="s">
        <v>37</v>
      </c>
      <c r="M34" s="21">
        <f>M33*24</f>
        <v>114.784359791911</v>
      </c>
      <c r="N34" s="20" t="s">
        <v>23</v>
      </c>
      <c r="Q34" s="10"/>
    </row>
    <row r="35" customHeight="1" spans="1:17">
      <c r="A35" s="22"/>
      <c r="B35" s="23"/>
      <c r="C35" s="23"/>
      <c r="D35" s="23"/>
      <c r="E35" s="23"/>
      <c r="F35" s="23"/>
      <c r="G35" s="23"/>
      <c r="H35" s="23"/>
      <c r="I35" s="24"/>
      <c r="K35" s="22"/>
      <c r="L35" s="23"/>
      <c r="M35" s="23"/>
      <c r="N35" s="23"/>
      <c r="O35" s="23"/>
      <c r="P35" s="23"/>
      <c r="Q35" s="24"/>
    </row>
    <row r="38" customHeight="1" spans="1:17">
      <c r="A38" s="9" t="s">
        <v>38</v>
      </c>
    </row>
    <row r="39" ht="130" customHeight="1" spans="1:17">
      <c r="A39" s="25" t="s">
        <v>39</v>
      </c>
      <c r="B39" s="25"/>
      <c r="C39" s="25"/>
      <c r="D39" s="25"/>
      <c r="E39" s="25"/>
      <c r="F39" s="25"/>
      <c r="G39" s="25"/>
      <c r="H39" s="25"/>
      <c r="I39" s="25"/>
    </row>
  </sheetData>
  <mergeCells count="1">
    <mergeCell ref="A39:I39"/>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50:W118"/>
  <sheetViews>
    <sheetView topLeftCell="A73" workbookViewId="0">
      <selection activeCell="L99" sqref="L99"/>
    </sheetView>
  </sheetViews>
  <sheetFormatPr defaultColWidth="12.6363636363636" defaultRowHeight="15.75" customHeight="1"/>
  <sheetData>
    <row r="50" customHeight="1" spans="1:23">
      <c r="A50" s="1" t="s">
        <v>40</v>
      </c>
    </row>
    <row r="52" customHeight="1" spans="1:23">
      <c r="A52" s="1" t="str">
        <f>'System Parameters'!A3</f>
        <v>System Parameters (defined by hardware)</v>
      </c>
      <c r="B52" s="1">
        <f>'System Parameters'!B3</f>
        <v>0</v>
      </c>
      <c r="C52" s="1">
        <f>'System Parameters'!C3</f>
        <v>0</v>
      </c>
      <c r="D52" s="1">
        <f>'System Parameters'!D3</f>
        <v>0</v>
      </c>
      <c r="T52" s="1" t="str">
        <f>'System Parameters'!E3</f>
        <v>Profiles (usage of each component mode - defined by software and usage)</v>
      </c>
      <c r="U52" s="1">
        <f>'System Parameters'!F3</f>
        <v>0</v>
      </c>
      <c r="V52" s="1">
        <f>'System Parameters'!G3</f>
        <v>0</v>
      </c>
      <c r="W52" s="1">
        <f>'System Parameters'!H3</f>
        <v>0</v>
      </c>
    </row>
    <row r="53" customHeight="1" spans="1:23">
      <c r="A53" s="1">
        <f>'System Parameters'!A4</f>
        <v>0</v>
      </c>
      <c r="B53" s="1" t="str">
        <f>'System Parameters'!B4</f>
        <v>form the datasheets</v>
      </c>
      <c r="C53" s="1">
        <f>'System Parameters'!C4</f>
        <v>0</v>
      </c>
      <c r="D53" s="1">
        <f>'System Parameters'!D4</f>
        <v>0</v>
      </c>
      <c r="T53" s="1">
        <f>'System Parameters'!E4</f>
        <v>0</v>
      </c>
      <c r="U53" s="1">
        <f>'System Parameters'!F4</f>
        <v>0</v>
      </c>
      <c r="V53" s="1">
        <f>'System Parameters'!G4</f>
        <v>0</v>
      </c>
      <c r="W53" s="1">
        <f>'System Parameters'!H4</f>
        <v>0</v>
      </c>
    </row>
    <row r="54" customHeight="1" spans="1:23">
      <c r="A54" s="1">
        <f>'System Parameters'!A5</f>
        <v>0</v>
      </c>
      <c r="B54" s="1">
        <f>'System Parameters'!B5</f>
        <v>0</v>
      </c>
      <c r="C54" s="1">
        <f>'System Parameters'!C5</f>
        <v>0</v>
      </c>
      <c r="D54" s="1">
        <f>'System Parameters'!D5</f>
        <v>0</v>
      </c>
      <c r="T54" s="1" t="str">
        <f>'System Parameters'!E5</f>
        <v>"off"</v>
      </c>
      <c r="U54" s="1" t="str">
        <f>'System Parameters'!F5</f>
        <v>"sensing"</v>
      </c>
      <c r="V54" s="1" t="str">
        <f>'System Parameters'!G5</f>
        <v>"interactive"</v>
      </c>
      <c r="W54" s="1">
        <f>'System Parameters'!H5</f>
        <v>0</v>
      </c>
    </row>
    <row r="55" customHeight="1" spans="1:23">
      <c r="A55" s="1" t="str">
        <f>'System Parameters'!A6</f>
        <v>Processor</v>
      </c>
      <c r="B55" s="1">
        <f>'System Parameters'!B6</f>
        <v>0</v>
      </c>
      <c r="C55" s="1">
        <f>'System Parameters'!C6</f>
        <v>0</v>
      </c>
      <c r="D55" s="1">
        <f>'System Parameters'!D6</f>
        <v>0</v>
      </c>
      <c r="T55" s="1">
        <f>'System Parameters'!E6</f>
        <v>0</v>
      </c>
      <c r="U55" s="1">
        <f>'System Parameters'!F6</f>
        <v>0</v>
      </c>
      <c r="V55" s="1">
        <f>'System Parameters'!G6</f>
        <v>0</v>
      </c>
      <c r="W55" s="1">
        <f>'System Parameters'!H6</f>
        <v>0</v>
      </c>
    </row>
    <row r="56" customHeight="1" spans="1:23">
      <c r="A56" s="1" t="str">
        <f>'System Parameters'!A7</f>
        <v>Active</v>
      </c>
      <c r="B56" s="2">
        <f>'System Parameters'!B7</f>
        <v>90.9</v>
      </c>
      <c r="C56" s="1" t="str">
        <f>'System Parameters'!C7</f>
        <v>mW</v>
      </c>
      <c r="D56" s="1">
        <f>$B56*0.9</f>
        <v>81.81</v>
      </c>
      <c r="E56" s="2">
        <f t="shared" ref="E56:O56" si="0">$B56</f>
        <v>90.9</v>
      </c>
      <c r="F56" s="2">
        <f t="shared" si="0"/>
        <v>90.9</v>
      </c>
      <c r="G56" s="2">
        <f t="shared" si="0"/>
        <v>90.9</v>
      </c>
      <c r="H56" s="2">
        <f t="shared" si="0"/>
        <v>90.9</v>
      </c>
      <c r="I56" s="2">
        <f t="shared" si="0"/>
        <v>90.9</v>
      </c>
      <c r="J56" s="2">
        <f t="shared" si="0"/>
        <v>90.9</v>
      </c>
      <c r="K56" s="2">
        <f t="shared" si="0"/>
        <v>90.9</v>
      </c>
      <c r="L56" s="2">
        <f t="shared" si="0"/>
        <v>90.9</v>
      </c>
      <c r="M56" s="2">
        <f t="shared" si="0"/>
        <v>90.9</v>
      </c>
      <c r="N56" s="2">
        <f t="shared" si="0"/>
        <v>90.9</v>
      </c>
      <c r="O56" s="2">
        <f t="shared" si="0"/>
        <v>90.9</v>
      </c>
      <c r="T56" s="3">
        <f>'System Parameters'!E7</f>
        <v>0</v>
      </c>
      <c r="U56" s="3">
        <f>'System Parameters'!F7</f>
        <v>0.05</v>
      </c>
      <c r="V56" s="3">
        <f>'System Parameters'!G7</f>
        <v>0.4</v>
      </c>
      <c r="W56" s="1">
        <f>'System Parameters'!H7</f>
        <v>0</v>
      </c>
    </row>
    <row r="57" customHeight="1" spans="1:23">
      <c r="A57" s="1" t="str">
        <f>'System Parameters'!A8</f>
        <v>Idle</v>
      </c>
      <c r="B57" s="2">
        <f>'System Parameters'!B8</f>
        <v>89.1</v>
      </c>
      <c r="C57" s="1" t="str">
        <f>'System Parameters'!C8</f>
        <v>mW</v>
      </c>
      <c r="D57" s="2">
        <f t="shared" ref="D57:D76" si="1">$B57</f>
        <v>89.1</v>
      </c>
      <c r="E57" s="1">
        <f>$B57*0.9</f>
        <v>80.19</v>
      </c>
      <c r="F57" s="2">
        <f t="shared" ref="F57:O57" si="2">$B57</f>
        <v>89.1</v>
      </c>
      <c r="G57" s="2">
        <f t="shared" si="2"/>
        <v>89.1</v>
      </c>
      <c r="H57" s="2">
        <f t="shared" si="2"/>
        <v>89.1</v>
      </c>
      <c r="I57" s="2">
        <f t="shared" si="2"/>
        <v>89.1</v>
      </c>
      <c r="J57" s="2">
        <f t="shared" si="2"/>
        <v>89.1</v>
      </c>
      <c r="K57" s="2">
        <f t="shared" si="2"/>
        <v>89.1</v>
      </c>
      <c r="L57" s="2">
        <f t="shared" si="2"/>
        <v>89.1</v>
      </c>
      <c r="M57" s="2">
        <f t="shared" si="2"/>
        <v>89.1</v>
      </c>
      <c r="N57" s="2">
        <f t="shared" si="2"/>
        <v>89.1</v>
      </c>
      <c r="O57" s="2">
        <f t="shared" si="2"/>
        <v>89.1</v>
      </c>
      <c r="T57" s="3">
        <f>'System Parameters'!E8</f>
        <v>0</v>
      </c>
      <c r="U57" s="3">
        <f>'System Parameters'!F8</f>
        <v>0.15</v>
      </c>
      <c r="V57" s="3">
        <f>'System Parameters'!G8</f>
        <v>0.4</v>
      </c>
      <c r="W57" s="1">
        <f>'System Parameters'!H8</f>
        <v>0</v>
      </c>
    </row>
    <row r="58" customHeight="1" spans="1:23">
      <c r="A58" s="1" t="str">
        <f>'System Parameters'!A9</f>
        <v>Sleep</v>
      </c>
      <c r="B58" s="2">
        <f>'System Parameters'!B9</f>
        <v>1</v>
      </c>
      <c r="C58" s="1" t="str">
        <f>'System Parameters'!C9</f>
        <v>mW</v>
      </c>
      <c r="D58" s="2">
        <f t="shared" si="1"/>
        <v>1</v>
      </c>
      <c r="E58" s="2">
        <f t="shared" ref="E58:E76" si="3">$B58</f>
        <v>1</v>
      </c>
      <c r="F58" s="1">
        <f>$B58*0.9</f>
        <v>0.9</v>
      </c>
      <c r="G58" s="2">
        <f t="shared" ref="G58:O58" si="4">$B58</f>
        <v>1</v>
      </c>
      <c r="H58" s="2">
        <f t="shared" si="4"/>
        <v>1</v>
      </c>
      <c r="I58" s="2">
        <f t="shared" si="4"/>
        <v>1</v>
      </c>
      <c r="J58" s="2">
        <f t="shared" si="4"/>
        <v>1</v>
      </c>
      <c r="K58" s="2">
        <f t="shared" si="4"/>
        <v>1</v>
      </c>
      <c r="L58" s="2">
        <f t="shared" si="4"/>
        <v>1</v>
      </c>
      <c r="M58" s="2">
        <f t="shared" si="4"/>
        <v>1</v>
      </c>
      <c r="N58" s="2">
        <f t="shared" si="4"/>
        <v>1</v>
      </c>
      <c r="O58" s="2">
        <f t="shared" si="4"/>
        <v>1</v>
      </c>
      <c r="T58" s="3">
        <f>'System Parameters'!E9</f>
        <v>1</v>
      </c>
      <c r="U58" s="3">
        <f>'System Parameters'!F9</f>
        <v>0.8</v>
      </c>
      <c r="V58" s="3">
        <f>'System Parameters'!G9</f>
        <v>0.2</v>
      </c>
      <c r="W58" s="1">
        <f>'System Parameters'!H9</f>
        <v>0</v>
      </c>
    </row>
    <row r="59" customHeight="1" spans="1:23">
      <c r="A59" s="1">
        <f>'System Parameters'!A10</f>
        <v>0</v>
      </c>
      <c r="B59" s="1">
        <f>'System Parameters'!B10</f>
        <v>0</v>
      </c>
      <c r="C59" s="1">
        <f>'System Parameters'!C10</f>
        <v>0</v>
      </c>
      <c r="D59" s="1">
        <f t="shared" si="1"/>
        <v>0</v>
      </c>
      <c r="E59" s="1">
        <f t="shared" si="3"/>
        <v>0</v>
      </c>
      <c r="F59" s="1">
        <f t="shared" ref="F59:O59" si="5">$B59</f>
        <v>0</v>
      </c>
      <c r="G59" s="1">
        <f t="shared" si="5"/>
        <v>0</v>
      </c>
      <c r="H59" s="1">
        <f t="shared" si="5"/>
        <v>0</v>
      </c>
      <c r="I59" s="1">
        <f t="shared" si="5"/>
        <v>0</v>
      </c>
      <c r="J59" s="1">
        <f t="shared" si="5"/>
        <v>0</v>
      </c>
      <c r="K59" s="1">
        <f t="shared" si="5"/>
        <v>0</v>
      </c>
      <c r="L59" s="1">
        <f t="shared" si="5"/>
        <v>0</v>
      </c>
      <c r="M59" s="1">
        <f t="shared" si="5"/>
        <v>0</v>
      </c>
      <c r="N59" s="1">
        <f t="shared" si="5"/>
        <v>0</v>
      </c>
      <c r="O59" s="1">
        <f t="shared" si="5"/>
        <v>0</v>
      </c>
      <c r="T59" s="1">
        <f>'System Parameters'!E10</f>
        <v>0</v>
      </c>
      <c r="U59" s="1">
        <f>'System Parameters'!F10</f>
        <v>0</v>
      </c>
      <c r="V59" s="1">
        <f>'System Parameters'!G10</f>
        <v>0</v>
      </c>
      <c r="W59" s="1">
        <f>'System Parameters'!H10</f>
        <v>0</v>
      </c>
    </row>
    <row r="60" customHeight="1" spans="1:23">
      <c r="A60" s="1" t="str">
        <f>'System Parameters'!A11</f>
        <v>LED (Neopixel)</v>
      </c>
      <c r="B60" s="1">
        <f>'System Parameters'!B11</f>
        <v>0</v>
      </c>
      <c r="C60" s="1">
        <f>'System Parameters'!C11</f>
        <v>0</v>
      </c>
      <c r="D60" s="1">
        <f t="shared" si="1"/>
        <v>0</v>
      </c>
      <c r="E60" s="1">
        <f t="shared" si="3"/>
        <v>0</v>
      </c>
      <c r="F60" s="1">
        <f t="shared" ref="F60:O60" si="6">$B60</f>
        <v>0</v>
      </c>
      <c r="G60" s="1">
        <f t="shared" si="6"/>
        <v>0</v>
      </c>
      <c r="H60" s="1">
        <f t="shared" si="6"/>
        <v>0</v>
      </c>
      <c r="I60" s="1">
        <f t="shared" si="6"/>
        <v>0</v>
      </c>
      <c r="J60" s="1">
        <f t="shared" si="6"/>
        <v>0</v>
      </c>
      <c r="K60" s="1">
        <f t="shared" si="6"/>
        <v>0</v>
      </c>
      <c r="L60" s="1">
        <f t="shared" si="6"/>
        <v>0</v>
      </c>
      <c r="M60" s="1">
        <f t="shared" si="6"/>
        <v>0</v>
      </c>
      <c r="N60" s="1">
        <f t="shared" si="6"/>
        <v>0</v>
      </c>
      <c r="O60" s="1">
        <f t="shared" si="6"/>
        <v>0</v>
      </c>
      <c r="T60" s="1">
        <f>'System Parameters'!E11</f>
        <v>0</v>
      </c>
      <c r="U60" s="1">
        <f>'System Parameters'!F11</f>
        <v>0</v>
      </c>
      <c r="V60" s="1">
        <f>'System Parameters'!G11</f>
        <v>0</v>
      </c>
      <c r="W60" s="1">
        <f>'System Parameters'!H11</f>
        <v>0</v>
      </c>
    </row>
    <row r="61" customHeight="1" spans="1:23">
      <c r="A61" s="1" t="str">
        <f>'System Parameters'!A12</f>
        <v>On</v>
      </c>
      <c r="B61" s="2">
        <f>'System Parameters'!B12</f>
        <v>198</v>
      </c>
      <c r="C61" s="1" t="str">
        <f>'System Parameters'!C12</f>
        <v>mW</v>
      </c>
      <c r="D61" s="2">
        <f t="shared" si="1"/>
        <v>198</v>
      </c>
      <c r="E61" s="2">
        <f t="shared" si="3"/>
        <v>198</v>
      </c>
      <c r="F61" s="2">
        <f t="shared" ref="F61:F76" si="7">$B61</f>
        <v>198</v>
      </c>
      <c r="G61" s="1">
        <f>$B61*0.9</f>
        <v>178.2</v>
      </c>
      <c r="H61" s="2">
        <f t="shared" ref="H61:O61" si="8">$B61</f>
        <v>198</v>
      </c>
      <c r="I61" s="2">
        <f t="shared" si="8"/>
        <v>198</v>
      </c>
      <c r="J61" s="2">
        <f t="shared" si="8"/>
        <v>198</v>
      </c>
      <c r="K61" s="2">
        <f t="shared" si="8"/>
        <v>198</v>
      </c>
      <c r="L61" s="2">
        <f t="shared" si="8"/>
        <v>198</v>
      </c>
      <c r="M61" s="2">
        <f t="shared" si="8"/>
        <v>198</v>
      </c>
      <c r="N61" s="2">
        <f t="shared" si="8"/>
        <v>198</v>
      </c>
      <c r="O61" s="2">
        <f t="shared" si="8"/>
        <v>198</v>
      </c>
      <c r="T61" s="3">
        <f>'System Parameters'!E12</f>
        <v>0</v>
      </c>
      <c r="U61" s="3">
        <f>'System Parameters'!F12</f>
        <v>0.1</v>
      </c>
      <c r="V61" s="3">
        <f>'System Parameters'!G12</f>
        <v>0.4</v>
      </c>
      <c r="W61" s="1">
        <f>'System Parameters'!H12</f>
        <v>0</v>
      </c>
    </row>
    <row r="62" customHeight="1" spans="1:23">
      <c r="A62" s="1">
        <f>'System Parameters'!A13</f>
        <v>0</v>
      </c>
      <c r="B62" s="2">
        <f>'System Parameters'!B13</f>
        <v>0</v>
      </c>
      <c r="C62" s="1">
        <f>'System Parameters'!C13</f>
        <v>0</v>
      </c>
      <c r="D62" s="2">
        <f t="shared" si="1"/>
        <v>0</v>
      </c>
      <c r="E62" s="2">
        <f t="shared" si="3"/>
        <v>0</v>
      </c>
      <c r="F62" s="2">
        <f t="shared" si="7"/>
        <v>0</v>
      </c>
      <c r="G62" s="2">
        <f t="shared" ref="G62:O62" si="9">$B62</f>
        <v>0</v>
      </c>
      <c r="H62" s="2">
        <f t="shared" si="9"/>
        <v>0</v>
      </c>
      <c r="I62" s="2">
        <f t="shared" si="9"/>
        <v>0</v>
      </c>
      <c r="J62" s="2">
        <f t="shared" si="9"/>
        <v>0</v>
      </c>
      <c r="K62" s="2">
        <f t="shared" si="9"/>
        <v>0</v>
      </c>
      <c r="L62" s="2">
        <f t="shared" si="9"/>
        <v>0</v>
      </c>
      <c r="M62" s="2">
        <f t="shared" si="9"/>
        <v>0</v>
      </c>
      <c r="N62" s="2">
        <f t="shared" si="9"/>
        <v>0</v>
      </c>
      <c r="O62" s="2">
        <f t="shared" si="9"/>
        <v>0</v>
      </c>
      <c r="T62" s="1">
        <f>'System Parameters'!E13</f>
        <v>0</v>
      </c>
      <c r="U62" s="1">
        <f>'System Parameters'!F13</f>
        <v>0</v>
      </c>
      <c r="V62" s="1">
        <f>'System Parameters'!G13</f>
        <v>0</v>
      </c>
      <c r="W62" s="1">
        <f>'System Parameters'!H13</f>
        <v>0</v>
      </c>
    </row>
    <row r="63" customHeight="1" spans="1:23">
      <c r="A63" s="1">
        <f>'System Parameters'!A14</f>
        <v>0</v>
      </c>
      <c r="B63" s="2">
        <f>'System Parameters'!B14</f>
        <v>0</v>
      </c>
      <c r="C63" s="1">
        <f>'System Parameters'!C14</f>
        <v>0</v>
      </c>
      <c r="D63" s="2">
        <f t="shared" si="1"/>
        <v>0</v>
      </c>
      <c r="E63" s="2">
        <f t="shared" si="3"/>
        <v>0</v>
      </c>
      <c r="F63" s="2">
        <f t="shared" si="7"/>
        <v>0</v>
      </c>
      <c r="G63" s="2">
        <f t="shared" ref="G63:O63" si="10">$B63</f>
        <v>0</v>
      </c>
      <c r="H63" s="2">
        <f t="shared" si="10"/>
        <v>0</v>
      </c>
      <c r="I63" s="2">
        <f t="shared" si="10"/>
        <v>0</v>
      </c>
      <c r="J63" s="2">
        <f t="shared" si="10"/>
        <v>0</v>
      </c>
      <c r="K63" s="2">
        <f t="shared" si="10"/>
        <v>0</v>
      </c>
      <c r="L63" s="2">
        <f t="shared" si="10"/>
        <v>0</v>
      </c>
      <c r="M63" s="2">
        <f t="shared" si="10"/>
        <v>0</v>
      </c>
      <c r="N63" s="2">
        <f t="shared" si="10"/>
        <v>0</v>
      </c>
      <c r="O63" s="2">
        <f t="shared" si="10"/>
        <v>0</v>
      </c>
      <c r="T63" s="1">
        <f>'System Parameters'!E14</f>
        <v>0</v>
      </c>
      <c r="U63" s="1">
        <f>'System Parameters'!F14</f>
        <v>0</v>
      </c>
      <c r="V63" s="1">
        <f>'System Parameters'!G14</f>
        <v>0</v>
      </c>
      <c r="W63" s="1">
        <f>'System Parameters'!H14</f>
        <v>0</v>
      </c>
    </row>
    <row r="64" customHeight="1" spans="1:23">
      <c r="A64" s="1" t="str">
        <f>'System Parameters'!A15</f>
        <v>Display (OLED)</v>
      </c>
      <c r="B64" s="2">
        <f>'System Parameters'!B15</f>
        <v>0</v>
      </c>
      <c r="C64" s="1">
        <f>'System Parameters'!C15</f>
        <v>0</v>
      </c>
      <c r="D64" s="2">
        <f t="shared" si="1"/>
        <v>0</v>
      </c>
      <c r="E64" s="2">
        <f t="shared" si="3"/>
        <v>0</v>
      </c>
      <c r="F64" s="2">
        <f t="shared" si="7"/>
        <v>0</v>
      </c>
      <c r="G64" s="2">
        <f t="shared" ref="G64:O64" si="11">$B64</f>
        <v>0</v>
      </c>
      <c r="H64" s="2">
        <f t="shared" si="11"/>
        <v>0</v>
      </c>
      <c r="I64" s="2">
        <f t="shared" si="11"/>
        <v>0</v>
      </c>
      <c r="J64" s="2">
        <f t="shared" si="11"/>
        <v>0</v>
      </c>
      <c r="K64" s="2">
        <f t="shared" si="11"/>
        <v>0</v>
      </c>
      <c r="L64" s="2">
        <f t="shared" si="11"/>
        <v>0</v>
      </c>
      <c r="M64" s="2">
        <f t="shared" si="11"/>
        <v>0</v>
      </c>
      <c r="N64" s="2">
        <f t="shared" si="11"/>
        <v>0</v>
      </c>
      <c r="O64" s="2">
        <f t="shared" si="11"/>
        <v>0</v>
      </c>
      <c r="T64" s="1">
        <f>'System Parameters'!E15</f>
        <v>0</v>
      </c>
      <c r="U64" s="1">
        <f>'System Parameters'!F15</f>
        <v>0</v>
      </c>
      <c r="V64" s="1">
        <f>'System Parameters'!G15</f>
        <v>0</v>
      </c>
      <c r="W64" s="1">
        <f>'System Parameters'!H15</f>
        <v>0</v>
      </c>
    </row>
    <row r="65" customHeight="1" spans="1:23">
      <c r="A65" s="1" t="str">
        <f>'System Parameters'!A16</f>
        <v>On</v>
      </c>
      <c r="B65" s="2">
        <f>'System Parameters'!B16</f>
        <v>100</v>
      </c>
      <c r="C65" s="1" t="str">
        <f>'System Parameters'!C16</f>
        <v>mW</v>
      </c>
      <c r="D65" s="2">
        <f t="shared" si="1"/>
        <v>100</v>
      </c>
      <c r="E65" s="2">
        <f t="shared" si="3"/>
        <v>100</v>
      </c>
      <c r="F65" s="2">
        <f t="shared" si="7"/>
        <v>100</v>
      </c>
      <c r="G65" s="2">
        <f t="shared" ref="G65:G76" si="12">$B65</f>
        <v>100</v>
      </c>
      <c r="H65" s="1">
        <f>$B65*0.9</f>
        <v>90</v>
      </c>
      <c r="I65" s="2">
        <f t="shared" ref="I65:O65" si="13">$B65</f>
        <v>100</v>
      </c>
      <c r="J65" s="2">
        <f t="shared" si="13"/>
        <v>100</v>
      </c>
      <c r="K65" s="2">
        <f t="shared" si="13"/>
        <v>100</v>
      </c>
      <c r="L65" s="2">
        <f t="shared" si="13"/>
        <v>100</v>
      </c>
      <c r="M65" s="2">
        <f t="shared" si="13"/>
        <v>100</v>
      </c>
      <c r="N65" s="2">
        <f t="shared" si="13"/>
        <v>100</v>
      </c>
      <c r="O65" s="2">
        <f t="shared" si="13"/>
        <v>100</v>
      </c>
      <c r="T65" s="3">
        <f>'System Parameters'!E16</f>
        <v>0</v>
      </c>
      <c r="U65" s="3">
        <f>'System Parameters'!F16</f>
        <v>0.2</v>
      </c>
      <c r="V65" s="3">
        <f>'System Parameters'!G16</f>
        <v>0.8</v>
      </c>
      <c r="W65" s="1">
        <f>'System Parameters'!H16</f>
        <v>0</v>
      </c>
    </row>
    <row r="66" customHeight="1" spans="1:23">
      <c r="A66" s="1">
        <f>'System Parameters'!A17</f>
        <v>0</v>
      </c>
      <c r="B66" s="2">
        <f>'System Parameters'!B17</f>
        <v>0</v>
      </c>
      <c r="C66" s="1">
        <f>'System Parameters'!C17</f>
        <v>0</v>
      </c>
      <c r="D66" s="2">
        <f t="shared" si="1"/>
        <v>0</v>
      </c>
      <c r="E66" s="2">
        <f t="shared" si="3"/>
        <v>0</v>
      </c>
      <c r="F66" s="2">
        <f t="shared" si="7"/>
        <v>0</v>
      </c>
      <c r="G66" s="2">
        <f t="shared" si="12"/>
        <v>0</v>
      </c>
      <c r="H66" s="2">
        <f t="shared" ref="H66:H76" si="14">$B66</f>
        <v>0</v>
      </c>
      <c r="I66" s="1">
        <f>$B66*0.9</f>
        <v>0</v>
      </c>
      <c r="J66" s="2">
        <f t="shared" ref="J66:O66" si="15">$B66</f>
        <v>0</v>
      </c>
      <c r="K66" s="2">
        <f t="shared" si="15"/>
        <v>0</v>
      </c>
      <c r="L66" s="2">
        <f t="shared" si="15"/>
        <v>0</v>
      </c>
      <c r="M66" s="2">
        <f t="shared" si="15"/>
        <v>0</v>
      </c>
      <c r="N66" s="2">
        <f t="shared" si="15"/>
        <v>0</v>
      </c>
      <c r="O66" s="2">
        <f t="shared" si="15"/>
        <v>0</v>
      </c>
      <c r="T66" s="3">
        <f>'System Parameters'!E17</f>
        <v>0</v>
      </c>
      <c r="U66" s="3">
        <f>'System Parameters'!F17</f>
        <v>0</v>
      </c>
      <c r="V66" s="3">
        <f>'System Parameters'!G17</f>
        <v>0</v>
      </c>
      <c r="W66" s="1">
        <f>'System Parameters'!H17</f>
        <v>0</v>
      </c>
    </row>
    <row r="67" customHeight="1" spans="1:23">
      <c r="A67" s="1" t="str">
        <f>'System Parameters'!A18</f>
        <v>Off</v>
      </c>
      <c r="B67" s="2">
        <f>'System Parameters'!B18</f>
        <v>1</v>
      </c>
      <c r="C67" s="1" t="str">
        <f>'System Parameters'!C18</f>
        <v>mW</v>
      </c>
      <c r="D67" s="2">
        <f t="shared" si="1"/>
        <v>1</v>
      </c>
      <c r="E67" s="2">
        <f t="shared" si="3"/>
        <v>1</v>
      </c>
      <c r="F67" s="2">
        <f t="shared" si="7"/>
        <v>1</v>
      </c>
      <c r="G67" s="2">
        <f t="shared" si="12"/>
        <v>1</v>
      </c>
      <c r="H67" s="2">
        <f t="shared" si="14"/>
        <v>1</v>
      </c>
      <c r="I67" s="2">
        <f t="shared" ref="I67:I76" si="16">$B67</f>
        <v>1</v>
      </c>
      <c r="J67" s="1">
        <f>$B67*0.9</f>
        <v>0.9</v>
      </c>
      <c r="K67" s="2">
        <f t="shared" ref="K67:O67" si="17">$B67</f>
        <v>1</v>
      </c>
      <c r="L67" s="2">
        <f t="shared" si="17"/>
        <v>1</v>
      </c>
      <c r="M67" s="2">
        <f t="shared" si="17"/>
        <v>1</v>
      </c>
      <c r="N67" s="2">
        <f t="shared" si="17"/>
        <v>1</v>
      </c>
      <c r="O67" s="2">
        <f t="shared" si="17"/>
        <v>1</v>
      </c>
      <c r="T67" s="3">
        <f>'System Parameters'!E18</f>
        <v>1</v>
      </c>
      <c r="U67" s="3">
        <f>'System Parameters'!F18</f>
        <v>0.8</v>
      </c>
      <c r="V67" s="3">
        <f>'System Parameters'!G18</f>
        <v>0.2</v>
      </c>
      <c r="W67" s="1">
        <f>'System Parameters'!H18</f>
        <v>0</v>
      </c>
    </row>
    <row r="68" customHeight="1" spans="1:23">
      <c r="A68" s="1">
        <f>'System Parameters'!A19</f>
        <v>0</v>
      </c>
      <c r="B68" s="2">
        <f>'System Parameters'!B19</f>
        <v>0</v>
      </c>
      <c r="C68" s="1">
        <f>'System Parameters'!C19</f>
        <v>0</v>
      </c>
      <c r="D68" s="2">
        <f t="shared" si="1"/>
        <v>0</v>
      </c>
      <c r="E68" s="2">
        <f t="shared" si="3"/>
        <v>0</v>
      </c>
      <c r="F68" s="2">
        <f t="shared" si="7"/>
        <v>0</v>
      </c>
      <c r="G68" s="2">
        <f t="shared" si="12"/>
        <v>0</v>
      </c>
      <c r="H68" s="2">
        <f t="shared" si="14"/>
        <v>0</v>
      </c>
      <c r="I68" s="2">
        <f t="shared" si="16"/>
        <v>0</v>
      </c>
      <c r="J68" s="2">
        <f t="shared" ref="J68:O68" si="18">$B68</f>
        <v>0</v>
      </c>
      <c r="K68" s="2">
        <f t="shared" si="18"/>
        <v>0</v>
      </c>
      <c r="L68" s="2">
        <f t="shared" si="18"/>
        <v>0</v>
      </c>
      <c r="M68" s="2">
        <f t="shared" si="18"/>
        <v>0</v>
      </c>
      <c r="N68" s="2">
        <f t="shared" si="18"/>
        <v>0</v>
      </c>
      <c r="O68" s="2">
        <f t="shared" si="18"/>
        <v>0</v>
      </c>
      <c r="T68" s="1">
        <f>'System Parameters'!E19</f>
        <v>0</v>
      </c>
      <c r="U68" s="1">
        <f>'System Parameters'!F19</f>
        <v>0</v>
      </c>
      <c r="V68" s="1">
        <f>'System Parameters'!G19</f>
        <v>0</v>
      </c>
      <c r="W68" s="1">
        <f>'System Parameters'!H19</f>
        <v>0</v>
      </c>
    </row>
    <row r="69" customHeight="1" spans="1:23">
      <c r="A69" s="1" t="str">
        <f>'System Parameters'!A20</f>
        <v>Display (X27 motor)</v>
      </c>
      <c r="B69" s="2">
        <f>'System Parameters'!B20</f>
        <v>0</v>
      </c>
      <c r="C69" s="1">
        <f>'System Parameters'!C20</f>
        <v>0</v>
      </c>
      <c r="D69" s="2">
        <f t="shared" si="1"/>
        <v>0</v>
      </c>
      <c r="E69" s="2">
        <f t="shared" si="3"/>
        <v>0</v>
      </c>
      <c r="F69" s="2">
        <f t="shared" si="7"/>
        <v>0</v>
      </c>
      <c r="G69" s="2">
        <f t="shared" si="12"/>
        <v>0</v>
      </c>
      <c r="H69" s="2">
        <f t="shared" si="14"/>
        <v>0</v>
      </c>
      <c r="I69" s="2">
        <f t="shared" si="16"/>
        <v>0</v>
      </c>
      <c r="J69" s="2">
        <f t="shared" ref="J69:O69" si="19">$B69</f>
        <v>0</v>
      </c>
      <c r="K69" s="2">
        <f t="shared" si="19"/>
        <v>0</v>
      </c>
      <c r="L69" s="2">
        <f t="shared" si="19"/>
        <v>0</v>
      </c>
      <c r="M69" s="2">
        <f t="shared" si="19"/>
        <v>0</v>
      </c>
      <c r="N69" s="2">
        <f t="shared" si="19"/>
        <v>0</v>
      </c>
      <c r="O69" s="2">
        <f t="shared" si="19"/>
        <v>0</v>
      </c>
      <c r="T69" s="1">
        <f>'System Parameters'!E20</f>
        <v>0</v>
      </c>
      <c r="U69" s="1">
        <f>'System Parameters'!F20</f>
        <v>0</v>
      </c>
      <c r="V69" s="1">
        <f>'System Parameters'!G20</f>
        <v>0</v>
      </c>
      <c r="W69" s="1">
        <f>'System Parameters'!H20</f>
        <v>0</v>
      </c>
    </row>
    <row r="70" customHeight="1" spans="1:23">
      <c r="A70" s="1" t="str">
        <f>'System Parameters'!A21</f>
        <v>On</v>
      </c>
      <c r="B70" s="2">
        <f>'System Parameters'!B21</f>
        <v>66</v>
      </c>
      <c r="C70" s="1" t="str">
        <f>'System Parameters'!C21</f>
        <v>mW</v>
      </c>
      <c r="D70" s="2">
        <f t="shared" si="1"/>
        <v>66</v>
      </c>
      <c r="E70" s="2">
        <f t="shared" si="3"/>
        <v>66</v>
      </c>
      <c r="F70" s="2">
        <f t="shared" si="7"/>
        <v>66</v>
      </c>
      <c r="G70" s="2">
        <f t="shared" si="12"/>
        <v>66</v>
      </c>
      <c r="H70" s="2">
        <f t="shared" si="14"/>
        <v>66</v>
      </c>
      <c r="I70" s="2">
        <f t="shared" si="16"/>
        <v>66</v>
      </c>
      <c r="J70" s="2">
        <f t="shared" ref="J70:J76" si="20">$B70</f>
        <v>66</v>
      </c>
      <c r="K70" s="1">
        <f>$B70*0.9</f>
        <v>59.4</v>
      </c>
      <c r="L70" s="2">
        <f t="shared" ref="L70:O70" si="21">$B70</f>
        <v>66</v>
      </c>
      <c r="M70" s="2">
        <f t="shared" si="21"/>
        <v>66</v>
      </c>
      <c r="N70" s="2">
        <f t="shared" si="21"/>
        <v>66</v>
      </c>
      <c r="O70" s="2">
        <f t="shared" si="21"/>
        <v>66</v>
      </c>
      <c r="T70" s="3">
        <f>'System Parameters'!E21</f>
        <v>0</v>
      </c>
      <c r="U70" s="3">
        <f>'System Parameters'!F21</f>
        <v>0</v>
      </c>
      <c r="V70" s="3">
        <f>'System Parameters'!G21</f>
        <v>1</v>
      </c>
      <c r="W70" s="1">
        <f>'System Parameters'!H21</f>
        <v>0</v>
      </c>
    </row>
    <row r="71" customHeight="1" spans="1:23">
      <c r="A71" s="1" t="str">
        <f>'System Parameters'!A22</f>
        <v>Off (leakage)</v>
      </c>
      <c r="B71" s="2">
        <f>'System Parameters'!B22</f>
        <v>1</v>
      </c>
      <c r="C71" s="1" t="str">
        <f>'System Parameters'!C22</f>
        <v>mW</v>
      </c>
      <c r="D71" s="2">
        <f t="shared" si="1"/>
        <v>1</v>
      </c>
      <c r="E71" s="2">
        <f t="shared" si="3"/>
        <v>1</v>
      </c>
      <c r="F71" s="2">
        <f t="shared" si="7"/>
        <v>1</v>
      </c>
      <c r="G71" s="2">
        <f t="shared" si="12"/>
        <v>1</v>
      </c>
      <c r="H71" s="2">
        <f t="shared" si="14"/>
        <v>1</v>
      </c>
      <c r="I71" s="2">
        <f t="shared" si="16"/>
        <v>1</v>
      </c>
      <c r="J71" s="2">
        <f t="shared" si="20"/>
        <v>1</v>
      </c>
      <c r="K71" s="2">
        <f t="shared" ref="K71:K76" si="22">$B71</f>
        <v>1</v>
      </c>
      <c r="L71" s="1">
        <f>$B71*0.9</f>
        <v>0.9</v>
      </c>
      <c r="M71" s="2">
        <f t="shared" ref="M71:O71" si="23">$B71</f>
        <v>1</v>
      </c>
      <c r="N71" s="2">
        <f t="shared" si="23"/>
        <v>1</v>
      </c>
      <c r="O71" s="2">
        <f t="shared" si="23"/>
        <v>1</v>
      </c>
      <c r="T71" s="3">
        <f>'System Parameters'!E22</f>
        <v>1</v>
      </c>
      <c r="U71" s="3">
        <f>'System Parameters'!F22</f>
        <v>1</v>
      </c>
      <c r="V71" s="3">
        <f>'System Parameters'!G22</f>
        <v>0</v>
      </c>
      <c r="W71" s="1">
        <f>'System Parameters'!H22</f>
        <v>0</v>
      </c>
    </row>
    <row r="72" customHeight="1" spans="1:23">
      <c r="A72" s="1">
        <f>'System Parameters'!A23</f>
        <v>0</v>
      </c>
      <c r="B72" s="1">
        <f>'System Parameters'!B23</f>
        <v>0</v>
      </c>
      <c r="C72" s="1">
        <f>'System Parameters'!C23</f>
        <v>0</v>
      </c>
      <c r="D72" s="1">
        <f t="shared" si="1"/>
        <v>0</v>
      </c>
      <c r="E72" s="1">
        <f t="shared" si="3"/>
        <v>0</v>
      </c>
      <c r="F72" s="1">
        <f t="shared" si="7"/>
        <v>0</v>
      </c>
      <c r="G72" s="1">
        <f t="shared" si="12"/>
        <v>0</v>
      </c>
      <c r="H72" s="1">
        <f t="shared" si="14"/>
        <v>0</v>
      </c>
      <c r="I72" s="1">
        <f t="shared" si="16"/>
        <v>0</v>
      </c>
      <c r="J72" s="1">
        <f t="shared" si="20"/>
        <v>0</v>
      </c>
      <c r="K72" s="1">
        <f t="shared" si="22"/>
        <v>0</v>
      </c>
      <c r="L72" s="1">
        <f t="shared" ref="L72:O72" si="24">$B72</f>
        <v>0</v>
      </c>
      <c r="M72" s="1">
        <f t="shared" si="24"/>
        <v>0</v>
      </c>
      <c r="N72" s="1">
        <f t="shared" si="24"/>
        <v>0</v>
      </c>
      <c r="O72" s="1">
        <f t="shared" si="24"/>
        <v>0</v>
      </c>
      <c r="T72" s="1">
        <f>'System Parameters'!E23</f>
        <v>0</v>
      </c>
      <c r="U72" s="1">
        <f>'System Parameters'!F23</f>
        <v>0</v>
      </c>
      <c r="V72" s="1">
        <f>'System Parameters'!G23</f>
        <v>0</v>
      </c>
      <c r="W72" s="1">
        <f>'System Parameters'!H23</f>
        <v>0</v>
      </c>
    </row>
    <row r="73" customHeight="1" spans="1:23">
      <c r="A73" s="1" t="str">
        <f>'System Parameters'!A24</f>
        <v>Radio</v>
      </c>
      <c r="B73" s="1">
        <f>'System Parameters'!B24</f>
        <v>0</v>
      </c>
      <c r="C73" s="1">
        <f>'System Parameters'!C24</f>
        <v>0</v>
      </c>
      <c r="D73" s="1">
        <f t="shared" si="1"/>
        <v>0</v>
      </c>
      <c r="E73" s="1">
        <f t="shared" si="3"/>
        <v>0</v>
      </c>
      <c r="F73" s="1">
        <f t="shared" si="7"/>
        <v>0</v>
      </c>
      <c r="G73" s="1">
        <f t="shared" si="12"/>
        <v>0</v>
      </c>
      <c r="H73" s="1">
        <f t="shared" si="14"/>
        <v>0</v>
      </c>
      <c r="I73" s="1">
        <f t="shared" si="16"/>
        <v>0</v>
      </c>
      <c r="J73" s="1">
        <f t="shared" si="20"/>
        <v>0</v>
      </c>
      <c r="K73" s="1">
        <f t="shared" si="22"/>
        <v>0</v>
      </c>
      <c r="L73" s="1">
        <f t="shared" ref="L73:O73" si="25">$B73</f>
        <v>0</v>
      </c>
      <c r="M73" s="1">
        <f t="shared" si="25"/>
        <v>0</v>
      </c>
      <c r="N73" s="1">
        <f t="shared" si="25"/>
        <v>0</v>
      </c>
      <c r="O73" s="1">
        <f t="shared" si="25"/>
        <v>0</v>
      </c>
      <c r="T73" s="1">
        <f>'System Parameters'!E24</f>
        <v>0</v>
      </c>
      <c r="U73" s="1">
        <f>'System Parameters'!F24</f>
        <v>0</v>
      </c>
      <c r="V73" s="1">
        <f>'System Parameters'!G24</f>
        <v>0</v>
      </c>
      <c r="W73" s="1">
        <f>'System Parameters'!H24</f>
        <v>0</v>
      </c>
    </row>
    <row r="74" customHeight="1" spans="1:23">
      <c r="A74" s="1" t="str">
        <f>'System Parameters'!A26</f>
        <v>Standby Power</v>
      </c>
      <c r="B74" s="2">
        <f>'System Parameters'!B26</f>
        <v>89</v>
      </c>
      <c r="C74" s="1" t="str">
        <f>'System Parameters'!C26</f>
        <v>mW</v>
      </c>
      <c r="D74" s="2">
        <f t="shared" si="1"/>
        <v>89</v>
      </c>
      <c r="E74" s="2">
        <f t="shared" si="3"/>
        <v>89</v>
      </c>
      <c r="F74" s="2">
        <f t="shared" si="7"/>
        <v>89</v>
      </c>
      <c r="G74" s="2">
        <f t="shared" si="12"/>
        <v>89</v>
      </c>
      <c r="H74" s="2">
        <f t="shared" si="14"/>
        <v>89</v>
      </c>
      <c r="I74" s="2">
        <f t="shared" si="16"/>
        <v>89</v>
      </c>
      <c r="J74" s="2">
        <f t="shared" si="20"/>
        <v>89</v>
      </c>
      <c r="K74" s="2">
        <f t="shared" si="22"/>
        <v>89</v>
      </c>
      <c r="L74" s="2">
        <f t="shared" ref="L74:L76" si="26">$B74</f>
        <v>89</v>
      </c>
      <c r="M74" s="1">
        <f>$B74*0.9</f>
        <v>80.1</v>
      </c>
      <c r="N74" s="2">
        <f t="shared" ref="N74:O74" si="27">$B74</f>
        <v>89</v>
      </c>
      <c r="O74" s="2">
        <f t="shared" si="27"/>
        <v>89</v>
      </c>
      <c r="T74" s="3">
        <f>'System Parameters'!E26</f>
        <v>0</v>
      </c>
      <c r="U74" s="3">
        <f>'System Parameters'!F26</f>
        <v>0.95</v>
      </c>
      <c r="V74" s="3">
        <f>'System Parameters'!G26</f>
        <v>0.6</v>
      </c>
      <c r="W74" s="1">
        <f>'System Parameters'!H26</f>
        <v>0</v>
      </c>
    </row>
    <row r="75" customHeight="1" spans="1:23">
      <c r="A75" s="1" t="str">
        <f>'System Parameters'!A27</f>
        <v>TX Power</v>
      </c>
      <c r="B75" s="2">
        <f>'System Parameters'!B27</f>
        <v>100</v>
      </c>
      <c r="C75" s="1" t="str">
        <f>'System Parameters'!C27</f>
        <v>mW</v>
      </c>
      <c r="D75" s="2">
        <f t="shared" si="1"/>
        <v>100</v>
      </c>
      <c r="E75" s="2">
        <f t="shared" si="3"/>
        <v>100</v>
      </c>
      <c r="F75" s="2">
        <f t="shared" si="7"/>
        <v>100</v>
      </c>
      <c r="G75" s="2">
        <f t="shared" si="12"/>
        <v>100</v>
      </c>
      <c r="H75" s="2">
        <f t="shared" si="14"/>
        <v>100</v>
      </c>
      <c r="I75" s="2">
        <f t="shared" si="16"/>
        <v>100</v>
      </c>
      <c r="J75" s="2">
        <f t="shared" si="20"/>
        <v>100</v>
      </c>
      <c r="K75" s="2">
        <f t="shared" si="22"/>
        <v>100</v>
      </c>
      <c r="L75" s="2">
        <f t="shared" si="26"/>
        <v>100</v>
      </c>
      <c r="M75" s="2">
        <f t="shared" ref="M75:M76" si="28">$B75</f>
        <v>100</v>
      </c>
      <c r="N75" s="1">
        <f>$B75*0.9</f>
        <v>90</v>
      </c>
      <c r="O75" s="2">
        <f>$B75</f>
        <v>100</v>
      </c>
      <c r="T75" s="3">
        <f>'System Parameters'!E27</f>
        <v>0</v>
      </c>
      <c r="U75" s="3">
        <f>'System Parameters'!F27</f>
        <v>0.03</v>
      </c>
      <c r="V75" s="3">
        <f>'System Parameters'!G27</f>
        <v>0.25</v>
      </c>
      <c r="W75" s="1">
        <f>'System Parameters'!H27</f>
        <v>0</v>
      </c>
    </row>
    <row r="76" customHeight="1" spans="1:23">
      <c r="A76" s="1" t="str">
        <f>'System Parameters'!A28</f>
        <v>RX Power</v>
      </c>
      <c r="B76" s="2">
        <f>'System Parameters'!B28</f>
        <v>90</v>
      </c>
      <c r="C76" s="1" t="str">
        <f>'System Parameters'!C28</f>
        <v>mW</v>
      </c>
      <c r="D76" s="2">
        <f t="shared" si="1"/>
        <v>90</v>
      </c>
      <c r="E76" s="2">
        <f t="shared" si="3"/>
        <v>90</v>
      </c>
      <c r="F76" s="2">
        <f t="shared" si="7"/>
        <v>90</v>
      </c>
      <c r="G76" s="2">
        <f t="shared" si="12"/>
        <v>90</v>
      </c>
      <c r="H76" s="2">
        <f t="shared" si="14"/>
        <v>90</v>
      </c>
      <c r="I76" s="2">
        <f t="shared" si="16"/>
        <v>90</v>
      </c>
      <c r="J76" s="2">
        <f t="shared" si="20"/>
        <v>90</v>
      </c>
      <c r="K76" s="2">
        <f t="shared" si="22"/>
        <v>90</v>
      </c>
      <c r="L76" s="2">
        <f t="shared" si="26"/>
        <v>90</v>
      </c>
      <c r="M76" s="2">
        <f t="shared" si="28"/>
        <v>90</v>
      </c>
      <c r="N76" s="2">
        <f>$B76</f>
        <v>90</v>
      </c>
      <c r="O76" s="1">
        <f>$B76*0.9</f>
        <v>81</v>
      </c>
      <c r="T76" s="3">
        <f>'System Parameters'!E28</f>
        <v>0</v>
      </c>
      <c r="U76" s="3">
        <f>'System Parameters'!F28</f>
        <v>0.02</v>
      </c>
      <c r="V76" s="3">
        <f>'System Parameters'!G28</f>
        <v>0.15</v>
      </c>
      <c r="W76" s="1">
        <f>'System Parameters'!H28</f>
        <v>0</v>
      </c>
    </row>
    <row r="77" customHeight="1" spans="1:23">
      <c r="A77" s="1">
        <f>'System Parameters'!A29</f>
        <v>0</v>
      </c>
      <c r="B77" s="1">
        <f>'System Parameters'!B29</f>
        <v>0</v>
      </c>
      <c r="C77" s="1">
        <f>'System Parameters'!C29</f>
        <v>0</v>
      </c>
      <c r="D77" s="1">
        <f>'System Parameters'!D29</f>
        <v>0</v>
      </c>
      <c r="T77" s="1">
        <f>'System Parameters'!E29</f>
        <v>0</v>
      </c>
      <c r="U77" s="1">
        <f>'System Parameters'!F29</f>
        <v>0</v>
      </c>
      <c r="V77" s="1">
        <f>'System Parameters'!G29</f>
        <v>0</v>
      </c>
      <c r="W77" s="1">
        <f>'System Parameters'!H29</f>
        <v>0</v>
      </c>
    </row>
    <row r="78" customHeight="1" spans="1:23">
      <c r="A78" s="1">
        <f>'System Parameters'!A30</f>
        <v>0</v>
      </c>
      <c r="B78" s="1">
        <f>'System Parameters'!B30</f>
        <v>0</v>
      </c>
      <c r="C78" s="1">
        <f>'System Parameters'!C30</f>
        <v>0</v>
      </c>
      <c r="D78" s="1">
        <f>'System Parameters'!D30</f>
        <v>0</v>
      </c>
      <c r="T78" s="1">
        <f>'System Parameters'!E30</f>
        <v>18</v>
      </c>
      <c r="U78" s="1">
        <f>'System Parameters'!F30</f>
        <v>5</v>
      </c>
      <c r="V78" s="1">
        <f>'System Parameters'!G30</f>
        <v>1</v>
      </c>
      <c r="W78" s="1" t="str">
        <f>'System Parameters'!H30</f>
        <v>hours/day typical usage</v>
      </c>
    </row>
    <row r="79" customHeight="1" spans="1:23">
      <c r="A79" s="1" t="str">
        <f>'System Parameters'!A31</f>
        <v>Battery</v>
      </c>
      <c r="B79" s="1">
        <f>'System Parameters'!B31</f>
        <v>0</v>
      </c>
      <c r="C79" s="1">
        <f>'System Parameters'!C31</f>
        <v>0</v>
      </c>
      <c r="D79" s="1">
        <f>'System Parameters'!D31</f>
        <v>0</v>
      </c>
      <c r="T79" s="1">
        <f>'System Parameters'!E31</f>
        <v>0</v>
      </c>
      <c r="U79" s="1">
        <f>'System Parameters'!F31</f>
        <v>0</v>
      </c>
      <c r="V79" s="1">
        <f>'System Parameters'!G31</f>
        <v>0</v>
      </c>
      <c r="W79" s="1">
        <f>'System Parameters'!H31</f>
        <v>0</v>
      </c>
    </row>
    <row r="80" customHeight="1" spans="1:23">
      <c r="A80" s="1" t="str">
        <f>'System Parameters'!A32</f>
        <v>Capacity</v>
      </c>
      <c r="B80" s="2">
        <f>'System Parameters'!B32</f>
        <v>2000</v>
      </c>
      <c r="C80" s="1" t="str">
        <f>'System Parameters'!C32</f>
        <v>mAh</v>
      </c>
      <c r="D80" s="1">
        <f>'System Parameters'!D32</f>
        <v>0</v>
      </c>
      <c r="T80" s="1">
        <f>'System Parameters'!E32</f>
        <v>0</v>
      </c>
      <c r="U80" s="1">
        <f>'System Parameters'!F32</f>
        <v>0</v>
      </c>
      <c r="V80" s="1">
        <f>'System Parameters'!G32</f>
        <v>0</v>
      </c>
      <c r="W80" s="1">
        <f>'System Parameters'!H32</f>
        <v>0</v>
      </c>
    </row>
    <row r="81" customHeight="1" spans="1:23">
      <c r="A81" s="1" t="str">
        <f>'System Parameters'!A33</f>
        <v>Nominal Voltage</v>
      </c>
      <c r="B81" s="2">
        <f>'System Parameters'!B33</f>
        <v>3</v>
      </c>
      <c r="C81" s="1" t="str">
        <f>'System Parameters'!C33</f>
        <v>V</v>
      </c>
      <c r="D81" s="1">
        <f>'System Parameters'!D33</f>
        <v>0</v>
      </c>
      <c r="T81" s="1">
        <f>'System Parameters'!E33</f>
        <v>0</v>
      </c>
      <c r="U81" s="1">
        <f>'System Parameters'!F33</f>
        <v>0</v>
      </c>
      <c r="V81" s="1">
        <f>'System Parameters'!G33</f>
        <v>0</v>
      </c>
      <c r="W81" s="1">
        <f>'System Parameters'!H33</f>
        <v>0</v>
      </c>
    </row>
    <row r="82" customHeight="1" spans="1:23">
      <c r="A82" s="1" t="str">
        <f>'System Parameters'!A34</f>
        <v>Regulator Efficiency</v>
      </c>
      <c r="B82" s="3">
        <f>'System Parameters'!B34</f>
        <v>0.95</v>
      </c>
      <c r="C82" s="1">
        <f>'System Parameters'!C34</f>
        <v>0</v>
      </c>
      <c r="D82" s="1">
        <f>'System Parameters'!D34</f>
        <v>0</v>
      </c>
      <c r="T82" s="1">
        <f>'System Parameters'!E34</f>
        <v>0</v>
      </c>
      <c r="U82" s="1">
        <f>'System Parameters'!F34</f>
        <v>0</v>
      </c>
      <c r="V82" s="1">
        <f>'System Parameters'!G34</f>
        <v>0</v>
      </c>
      <c r="W82" s="1">
        <f>'System Parameters'!H34</f>
        <v>0</v>
      </c>
    </row>
    <row r="83" customHeight="1" spans="1:23">
      <c r="A83" s="1">
        <f>'System Parameters'!A35</f>
        <v>0</v>
      </c>
      <c r="B83" s="1">
        <f>'System Parameters'!B35</f>
        <v>0</v>
      </c>
      <c r="C83" s="1">
        <f>'System Parameters'!C35</f>
        <v>0</v>
      </c>
      <c r="D83" s="1">
        <f>'System Parameters'!D35</f>
        <v>0</v>
      </c>
      <c r="O83" s="1">
        <f>'System Parameters'!E35</f>
        <v>0</v>
      </c>
      <c r="P83" s="1">
        <f>'System Parameters'!F35</f>
        <v>0</v>
      </c>
      <c r="Q83" s="1">
        <f>'System Parameters'!G35</f>
        <v>0</v>
      </c>
      <c r="R83" s="1">
        <f>'System Parameters'!H35</f>
        <v>0</v>
      </c>
      <c r="S83" s="1">
        <f>'System Parameters'!I35</f>
        <v>0</v>
      </c>
      <c r="T83" s="1">
        <f>'System Parameters'!J35</f>
        <v>0</v>
      </c>
      <c r="U83" s="1" t="e">
        <f>#REF!</f>
        <v>#REF!</v>
      </c>
      <c r="V83" s="1" t="e">
        <f>#REF!</f>
        <v>#REF!</v>
      </c>
    </row>
    <row r="84" customHeight="1" spans="1:23">
      <c r="A84" s="1">
        <f>'System Parameters'!A36</f>
        <v>0</v>
      </c>
      <c r="B84" s="1">
        <f>'System Parameters'!B36</f>
        <v>0</v>
      </c>
      <c r="C84" s="1">
        <f>'System Parameters'!C36</f>
        <v>0</v>
      </c>
      <c r="D84" s="1">
        <f>'System Parameters'!D36</f>
        <v>0</v>
      </c>
      <c r="O84" s="1">
        <f>'System Parameters'!E36</f>
        <v>0</v>
      </c>
      <c r="P84" s="1">
        <f>'System Parameters'!F36</f>
        <v>0</v>
      </c>
      <c r="Q84" s="1">
        <f>'System Parameters'!G36</f>
        <v>0</v>
      </c>
      <c r="R84" s="1">
        <f>'System Parameters'!H36</f>
        <v>0</v>
      </c>
      <c r="S84" s="1">
        <f>'System Parameters'!I36</f>
        <v>0</v>
      </c>
      <c r="T84" s="1">
        <f>'System Parameters'!J36</f>
        <v>0</v>
      </c>
      <c r="U84" s="1" t="e">
        <f>#REF!</f>
        <v>#REF!</v>
      </c>
      <c r="V84" s="1" t="e">
        <f>#REF!</f>
        <v>#REF!</v>
      </c>
    </row>
    <row r="85" customHeight="1" spans="1:23">
      <c r="A85" s="1">
        <f>'System Parameters'!A37</f>
        <v>0</v>
      </c>
      <c r="B85" s="1">
        <f>'System Parameters'!K24</f>
        <v>0</v>
      </c>
      <c r="C85" s="1">
        <f>'System Parameters'!L24</f>
        <v>0</v>
      </c>
      <c r="D85" s="1">
        <f>'System Parameters'!M24</f>
        <v>0</v>
      </c>
      <c r="O85" s="1">
        <f>'System Parameters'!N24</f>
        <v>0</v>
      </c>
      <c r="P85" s="1">
        <f>'System Parameters'!O24</f>
        <v>0</v>
      </c>
      <c r="Q85" s="1">
        <f>'System Parameters'!P24</f>
        <v>0</v>
      </c>
      <c r="R85" s="1">
        <f>'System Parameters'!Q24</f>
        <v>0</v>
      </c>
      <c r="S85" s="1">
        <f>'System Parameters'!I37</f>
        <v>0</v>
      </c>
      <c r="T85" s="1">
        <f>'System Parameters'!J37</f>
        <v>0</v>
      </c>
      <c r="U85" s="1" t="e">
        <f>#REF!</f>
        <v>#REF!</v>
      </c>
      <c r="V85" s="1" t="e">
        <f>#REF!</f>
        <v>#REF!</v>
      </c>
    </row>
    <row r="86" customHeight="1" spans="1:23">
      <c r="A86" s="1" t="str">
        <f>'System Parameters'!A38</f>
        <v>REFLECTIONS : WHAT DID YOU LEARN FROM ANALYZING YOUR POWER.  TALK ABOUT SOME POTENTIAL TRADEOFFS. </v>
      </c>
      <c r="B86" s="1">
        <f>'System Parameters'!K25</f>
        <v>0</v>
      </c>
      <c r="C86" s="1" t="e">
        <f>#REF!</f>
        <v>#REF!</v>
      </c>
      <c r="D86" s="1" t="e">
        <f>#REF!</f>
        <v>#REF!</v>
      </c>
      <c r="O86" s="1" t="e">
        <f>#REF!</f>
        <v>#REF!</v>
      </c>
      <c r="P86" s="1" t="e">
        <f>#REF!</f>
        <v>#REF!</v>
      </c>
      <c r="Q86" s="1" t="e">
        <f>#REF!</f>
        <v>#REF!</v>
      </c>
      <c r="R86" s="1">
        <f>'System Parameters'!Q25</f>
        <v>0</v>
      </c>
      <c r="S86" s="1">
        <f>'System Parameters'!I38</f>
        <v>0</v>
      </c>
      <c r="T86" s="1">
        <f>'System Parameters'!J38</f>
        <v>0</v>
      </c>
      <c r="U86" s="1" t="e">
        <f>#REF!</f>
        <v>#REF!</v>
      </c>
      <c r="V86" s="1" t="e">
        <f>#REF!</f>
        <v>#REF!</v>
      </c>
    </row>
    <row r="87" customHeight="1" spans="1:23">
      <c r="A87" s="1" t="str">
        <f>'System Parameters'!L25</f>
        <v>Total power in profile (mw)</v>
      </c>
      <c r="B87" s="1">
        <f>'System Parameters'!M25</f>
        <v>0</v>
      </c>
      <c r="C87" s="1">
        <f>'System Parameters'!N25</f>
        <v>0</v>
      </c>
      <c r="R87" s="1">
        <f>'System Parameters'!Q26</f>
        <v>0</v>
      </c>
      <c r="S87" s="1" t="e">
        <f>'System Parameters'!#REF!</f>
        <v>#REF!</v>
      </c>
      <c r="T87" s="1" t="e">
        <f>'System Parameters'!#REF!</f>
        <v>#REF!</v>
      </c>
      <c r="U87" s="1" t="e">
        <f>'System Parameters'!#REF!</f>
        <v>#REF!</v>
      </c>
      <c r="V87" s="1" t="e">
        <f>'System Parameters'!#REF!</f>
        <v>#REF!</v>
      </c>
    </row>
    <row r="88" customHeight="1" spans="1:23">
      <c r="A88" s="1" t="str">
        <f>'System Parameters'!L26</f>
        <v>"off"</v>
      </c>
      <c r="B88" s="1">
        <f>SUMPRODUCT(B56:B76,$T56:$T76)</f>
        <v>3</v>
      </c>
      <c r="C88" s="1" t="str">
        <f>'System Parameters'!N26</f>
        <v>mW</v>
      </c>
      <c r="D88" s="1">
        <f t="shared" ref="D88:O88" si="29">SUMPRODUCT(D56:D76,$T56:$T76)</f>
        <v>3</v>
      </c>
      <c r="E88" s="1">
        <f t="shared" si="29"/>
        <v>3</v>
      </c>
      <c r="F88" s="1">
        <f t="shared" si="29"/>
        <v>2.9</v>
      </c>
      <c r="G88" s="1">
        <f t="shared" si="29"/>
        <v>3</v>
      </c>
      <c r="H88" s="1">
        <f t="shared" si="29"/>
        <v>3</v>
      </c>
      <c r="I88" s="1">
        <f t="shared" si="29"/>
        <v>3</v>
      </c>
      <c r="J88" s="1">
        <f t="shared" si="29"/>
        <v>2.9</v>
      </c>
      <c r="K88" s="1">
        <f t="shared" si="29"/>
        <v>3</v>
      </c>
      <c r="L88" s="1">
        <f t="shared" si="29"/>
        <v>2.9</v>
      </c>
      <c r="M88" s="1">
        <f t="shared" si="29"/>
        <v>3</v>
      </c>
      <c r="N88" s="1">
        <f t="shared" si="29"/>
        <v>3</v>
      </c>
      <c r="O88" s="1">
        <f t="shared" si="29"/>
        <v>3</v>
      </c>
      <c r="R88" s="1">
        <f>'System Parameters'!Q27</f>
        <v>0</v>
      </c>
      <c r="S88" s="1">
        <f>'System Parameters'!I39</f>
        <v>0</v>
      </c>
      <c r="T88" s="1">
        <f>'System Parameters'!J39</f>
        <v>0</v>
      </c>
      <c r="U88" s="1">
        <f>'System Parameters'!K39</f>
        <v>0</v>
      </c>
      <c r="V88" s="1">
        <f>'System Parameters'!L39</f>
        <v>0</v>
      </c>
    </row>
    <row r="89" customHeight="1" spans="1:23">
      <c r="A89" s="1" t="str">
        <f>'System Parameters'!L27</f>
        <v>"sensing"</v>
      </c>
      <c r="B89" s="1">
        <f>SUMPRODUCT(B56:B76,$U56:$U76)</f>
        <v>149.66</v>
      </c>
      <c r="C89" s="1" t="str">
        <f>'System Parameters'!N27</f>
        <v>mW</v>
      </c>
      <c r="D89" s="1">
        <f t="shared" ref="D89:O89" si="30">SUMPRODUCT(D56:D76,$U56:$U76)</f>
        <v>149.2055</v>
      </c>
      <c r="E89" s="1">
        <f t="shared" si="30"/>
        <v>148.3235</v>
      </c>
      <c r="F89" s="1">
        <f t="shared" si="30"/>
        <v>149.58</v>
      </c>
      <c r="G89" s="1">
        <f t="shared" si="30"/>
        <v>147.68</v>
      </c>
      <c r="H89" s="1">
        <f t="shared" si="30"/>
        <v>147.66</v>
      </c>
      <c r="I89" s="1">
        <f t="shared" si="30"/>
        <v>149.66</v>
      </c>
      <c r="J89" s="1">
        <f t="shared" si="30"/>
        <v>149.58</v>
      </c>
      <c r="K89" s="1">
        <f t="shared" si="30"/>
        <v>149.66</v>
      </c>
      <c r="L89" s="1">
        <f t="shared" si="30"/>
        <v>149.56</v>
      </c>
      <c r="M89" s="1">
        <f t="shared" si="30"/>
        <v>141.205</v>
      </c>
      <c r="N89" s="1">
        <f t="shared" si="30"/>
        <v>149.36</v>
      </c>
      <c r="O89" s="1">
        <f t="shared" si="30"/>
        <v>149.48</v>
      </c>
      <c r="R89" s="1">
        <f>'System Parameters'!Q28</f>
        <v>0</v>
      </c>
      <c r="S89" s="1">
        <f>'System Parameters'!I40</f>
        <v>0</v>
      </c>
      <c r="T89" s="1">
        <f>'System Parameters'!J40</f>
        <v>0</v>
      </c>
      <c r="U89" s="1">
        <f>'System Parameters'!K40</f>
        <v>0</v>
      </c>
      <c r="V89" s="1">
        <f>'System Parameters'!L40</f>
        <v>0</v>
      </c>
    </row>
    <row r="90" customHeight="1" spans="1:23">
      <c r="A90" s="1" t="str">
        <f>'System Parameters'!L28</f>
        <v>"interactive"</v>
      </c>
      <c r="B90" s="1">
        <f>SUMPRODUCT(B56:B76,$V56:$V76)</f>
        <v>389.5</v>
      </c>
      <c r="C90" s="1" t="str">
        <f>'System Parameters'!N28</f>
        <v>mW</v>
      </c>
      <c r="D90" s="1">
        <f t="shared" ref="D90:O90" si="31">SUMPRODUCT(D56:D76,$V56:$V76)</f>
        <v>385.864</v>
      </c>
      <c r="E90" s="1">
        <f t="shared" si="31"/>
        <v>385.936</v>
      </c>
      <c r="F90" s="1">
        <f t="shared" si="31"/>
        <v>389.48</v>
      </c>
      <c r="G90" s="1">
        <f t="shared" si="31"/>
        <v>381.58</v>
      </c>
      <c r="H90" s="1">
        <f t="shared" si="31"/>
        <v>381.5</v>
      </c>
      <c r="I90" s="1">
        <f t="shared" si="31"/>
        <v>389.5</v>
      </c>
      <c r="J90" s="1">
        <f t="shared" si="31"/>
        <v>389.48</v>
      </c>
      <c r="K90" s="1">
        <f t="shared" si="31"/>
        <v>382.9</v>
      </c>
      <c r="L90" s="1">
        <f t="shared" si="31"/>
        <v>389.5</v>
      </c>
      <c r="M90" s="1">
        <f t="shared" si="31"/>
        <v>384.16</v>
      </c>
      <c r="N90" s="1">
        <f t="shared" si="31"/>
        <v>387</v>
      </c>
      <c r="O90" s="1">
        <f t="shared" si="31"/>
        <v>388.15</v>
      </c>
      <c r="R90" s="1">
        <f>'System Parameters'!Q29</f>
        <v>0</v>
      </c>
      <c r="S90" s="1">
        <f>'System Parameters'!I41</f>
        <v>0</v>
      </c>
      <c r="T90" s="1">
        <f>'System Parameters'!J41</f>
        <v>0</v>
      </c>
      <c r="U90" s="1">
        <f>'System Parameters'!K41</f>
        <v>0</v>
      </c>
      <c r="V90" s="1">
        <f>'System Parameters'!L41</f>
        <v>0</v>
      </c>
    </row>
    <row r="91" customHeight="1" spans="1:23">
      <c r="A91" s="1">
        <f>'System Parameters'!L29</f>
        <v>0</v>
      </c>
      <c r="B91" s="1">
        <f>'System Parameters'!M29</f>
        <v>0</v>
      </c>
      <c r="C91" s="1">
        <f>'System Parameters'!N29</f>
        <v>0</v>
      </c>
      <c r="D91" s="1">
        <f>'System Parameters'!O29</f>
        <v>0</v>
      </c>
      <c r="E91" s="1">
        <f>'System Parameters'!P29</f>
        <v>0</v>
      </c>
      <c r="F91" s="1">
        <f>'System Parameters'!Q30</f>
        <v>0</v>
      </c>
      <c r="G91" s="1">
        <f>'System Parameters'!I42</f>
        <v>0</v>
      </c>
      <c r="H91" s="1">
        <f>'System Parameters'!J42</f>
        <v>0</v>
      </c>
      <c r="I91" s="1">
        <f>'System Parameters'!K42</f>
        <v>0</v>
      </c>
      <c r="J91" s="1">
        <f>'System Parameters'!L42</f>
        <v>0</v>
      </c>
      <c r="K91" s="1">
        <f>'System Parameters'!M42</f>
        <v>0</v>
      </c>
      <c r="L91" s="1">
        <f>'System Parameters'!N42</f>
        <v>0</v>
      </c>
      <c r="M91" s="1">
        <f>'System Parameters'!O42</f>
        <v>0</v>
      </c>
      <c r="N91" s="1">
        <f>'System Parameters'!P42</f>
        <v>0</v>
      </c>
      <c r="O91" s="1">
        <f>'System Parameters'!Q42</f>
        <v>0</v>
      </c>
      <c r="R91" s="1">
        <f>'System Parameters'!Q30</f>
        <v>0</v>
      </c>
      <c r="S91" s="1">
        <f>'System Parameters'!I42</f>
        <v>0</v>
      </c>
      <c r="T91" s="1">
        <f>'System Parameters'!J42</f>
        <v>0</v>
      </c>
      <c r="U91" s="1">
        <f>'System Parameters'!K42</f>
        <v>0</v>
      </c>
      <c r="V91" s="1">
        <f>'System Parameters'!L42</f>
        <v>0</v>
      </c>
    </row>
    <row r="92" customHeight="1" spans="1:23">
      <c r="A92" s="1" t="str">
        <f>'System Parameters'!L30</f>
        <v>Effective Battery Capacity</v>
      </c>
      <c r="B92" s="1">
        <f>'System Parameters'!M30</f>
        <v>0</v>
      </c>
      <c r="C92" s="1">
        <f>'System Parameters'!N30</f>
        <v>0</v>
      </c>
      <c r="D92" s="1">
        <f>'System Parameters'!O30</f>
        <v>0</v>
      </c>
      <c r="E92" s="1">
        <f>'System Parameters'!P30</f>
        <v>0</v>
      </c>
      <c r="F92" s="1">
        <f>'System Parameters'!Q31</f>
        <v>0</v>
      </c>
      <c r="G92" s="1">
        <f>'System Parameters'!I43</f>
        <v>0</v>
      </c>
      <c r="H92" s="1">
        <f>'System Parameters'!J43</f>
        <v>0</v>
      </c>
      <c r="I92" s="1">
        <f>'System Parameters'!K43</f>
        <v>0</v>
      </c>
      <c r="J92" s="1">
        <f>'System Parameters'!L43</f>
        <v>0</v>
      </c>
      <c r="K92" s="1">
        <f>'System Parameters'!M43</f>
        <v>0</v>
      </c>
      <c r="L92" s="1">
        <f>'System Parameters'!N43</f>
        <v>0</v>
      </c>
      <c r="M92" s="1">
        <f>'System Parameters'!O43</f>
        <v>0</v>
      </c>
      <c r="N92" s="1">
        <f>'System Parameters'!P43</f>
        <v>0</v>
      </c>
      <c r="O92" s="1">
        <f>'System Parameters'!Q43</f>
        <v>0</v>
      </c>
      <c r="P92" s="1">
        <f>'System Parameters'!O30</f>
        <v>0</v>
      </c>
      <c r="Q92" s="1">
        <f>'System Parameters'!P30</f>
        <v>0</v>
      </c>
      <c r="R92" s="1">
        <f>'System Parameters'!Q31</f>
        <v>0</v>
      </c>
      <c r="S92" s="1">
        <f>'System Parameters'!I43</f>
        <v>0</v>
      </c>
      <c r="T92" s="1">
        <f>'System Parameters'!J43</f>
        <v>0</v>
      </c>
      <c r="U92" s="1">
        <f>'System Parameters'!K43</f>
        <v>0</v>
      </c>
      <c r="V92" s="1">
        <f>'System Parameters'!L43</f>
        <v>0</v>
      </c>
    </row>
    <row r="93" customHeight="1" spans="1:23">
      <c r="A93" s="1">
        <f>'System Parameters'!L31</f>
        <v>0</v>
      </c>
      <c r="B93" s="1">
        <f>B80*B81*B82</f>
        <v>5700</v>
      </c>
      <c r="C93" s="1" t="str">
        <f>'System Parameters'!N31</f>
        <v>mW*h</v>
      </c>
      <c r="D93" s="1">
        <f t="shared" ref="D93:O93" si="32">$B93</f>
        <v>5700</v>
      </c>
      <c r="E93" s="1">
        <f t="shared" si="32"/>
        <v>5700</v>
      </c>
      <c r="F93" s="1">
        <f t="shared" si="32"/>
        <v>5700</v>
      </c>
      <c r="G93" s="1">
        <f t="shared" si="32"/>
        <v>5700</v>
      </c>
      <c r="H93" s="1">
        <f t="shared" si="32"/>
        <v>5700</v>
      </c>
      <c r="I93" s="1">
        <f t="shared" si="32"/>
        <v>5700</v>
      </c>
      <c r="J93" s="1">
        <f t="shared" si="32"/>
        <v>5700</v>
      </c>
      <c r="K93" s="1">
        <f t="shared" si="32"/>
        <v>5700</v>
      </c>
      <c r="L93" s="1">
        <f t="shared" si="32"/>
        <v>5700</v>
      </c>
      <c r="M93" s="1">
        <f t="shared" si="32"/>
        <v>5700</v>
      </c>
      <c r="N93" s="1">
        <f t="shared" si="32"/>
        <v>5700</v>
      </c>
      <c r="O93" s="1">
        <f t="shared" si="32"/>
        <v>5700</v>
      </c>
      <c r="P93" s="1">
        <f>'System Parameters'!O31</f>
        <v>0</v>
      </c>
      <c r="Q93" s="1">
        <f>'System Parameters'!P31</f>
        <v>0</v>
      </c>
      <c r="R93" s="1">
        <f>'System Parameters'!Q32</f>
        <v>0</v>
      </c>
      <c r="S93" s="1">
        <f>'System Parameters'!I44</f>
        <v>0</v>
      </c>
      <c r="T93" s="1">
        <f>'System Parameters'!J44</f>
        <v>0</v>
      </c>
      <c r="U93" s="1">
        <f>'System Parameters'!K44</f>
        <v>0</v>
      </c>
      <c r="V93" s="1">
        <f>'System Parameters'!L44</f>
        <v>0</v>
      </c>
    </row>
    <row r="94" customHeight="1" spans="1:23">
      <c r="A94" s="1">
        <f>'System Parameters'!L32</f>
        <v>0</v>
      </c>
      <c r="B94" s="1">
        <f>'System Parameters'!M32</f>
        <v>0</v>
      </c>
      <c r="C94" s="1">
        <f>'System Parameters'!N32</f>
        <v>0</v>
      </c>
      <c r="D94" s="1">
        <f>'System Parameters'!O32</f>
        <v>0</v>
      </c>
      <c r="E94" s="1">
        <f>'System Parameters'!P32</f>
        <v>0</v>
      </c>
      <c r="F94" s="1">
        <f>'System Parameters'!Q33</f>
        <v>0</v>
      </c>
      <c r="G94" s="1">
        <f>'System Parameters'!I45</f>
        <v>0</v>
      </c>
      <c r="H94" s="1">
        <f>'System Parameters'!J45</f>
        <v>0</v>
      </c>
      <c r="I94" s="1">
        <f>'System Parameters'!K45</f>
        <v>0</v>
      </c>
      <c r="J94" s="1">
        <f>'System Parameters'!L45</f>
        <v>0</v>
      </c>
      <c r="K94" s="1">
        <f>'System Parameters'!M45</f>
        <v>0</v>
      </c>
      <c r="L94" s="1">
        <f>'System Parameters'!N45</f>
        <v>0</v>
      </c>
      <c r="M94" s="1">
        <f>'System Parameters'!O45</f>
        <v>0</v>
      </c>
      <c r="N94" s="1">
        <f>'System Parameters'!P45</f>
        <v>0</v>
      </c>
      <c r="O94" s="1">
        <f>'System Parameters'!Q45</f>
        <v>0</v>
      </c>
      <c r="P94" s="1">
        <f>'System Parameters'!O32</f>
        <v>0</v>
      </c>
      <c r="Q94" s="1">
        <f>'System Parameters'!P32</f>
        <v>0</v>
      </c>
      <c r="R94" s="1">
        <f>'System Parameters'!Q33</f>
        <v>0</v>
      </c>
      <c r="S94" s="1">
        <f>'System Parameters'!I45</f>
        <v>0</v>
      </c>
      <c r="T94" s="1">
        <f>'System Parameters'!J45</f>
        <v>0</v>
      </c>
      <c r="U94" s="1">
        <f>'System Parameters'!K45</f>
        <v>0</v>
      </c>
      <c r="V94" s="1">
        <f>'System Parameters'!L45</f>
        <v>0</v>
      </c>
    </row>
    <row r="95" customHeight="1" spans="1:23">
      <c r="A95" s="1" t="str">
        <f>'System Parameters'!L33</f>
        <v>Days of Use</v>
      </c>
      <c r="B95" s="1">
        <f>B93/($T78*B88+$U78*B89+$V78*B90)</f>
        <v>4.78268165799631</v>
      </c>
      <c r="C95" s="1" t="str">
        <f>'System Parameters'!N33</f>
        <v>days</v>
      </c>
      <c r="D95" s="1">
        <f t="shared" ref="D95:O95" si="33">D93/($T78*D88+$U78*D89+$V78*D90)</f>
        <v>4.80651054502035</v>
      </c>
      <c r="E95" s="1">
        <f t="shared" si="33"/>
        <v>4.82415734877854</v>
      </c>
      <c r="F95" s="1">
        <f t="shared" si="33"/>
        <v>4.79160712184132</v>
      </c>
      <c r="G95" s="1">
        <f t="shared" si="33"/>
        <v>4.8552786248488</v>
      </c>
      <c r="H95" s="1">
        <f t="shared" si="33"/>
        <v>4.85602317260181</v>
      </c>
      <c r="I95" s="1">
        <f t="shared" si="33"/>
        <v>4.78268165799631</v>
      </c>
      <c r="J95" s="1">
        <f t="shared" si="33"/>
        <v>4.79160712184132</v>
      </c>
      <c r="K95" s="1">
        <f t="shared" si="33"/>
        <v>4.80931488356395</v>
      </c>
      <c r="L95" s="1">
        <f t="shared" si="33"/>
        <v>4.79192938209332</v>
      </c>
      <c r="M95" s="1">
        <f t="shared" si="33"/>
        <v>4.98171187351696</v>
      </c>
      <c r="N95" s="1">
        <f t="shared" si="33"/>
        <v>4.79878767469271</v>
      </c>
      <c r="O95" s="1">
        <f t="shared" si="33"/>
        <v>4.79172796435627</v>
      </c>
      <c r="P95" s="1">
        <f>'System Parameters'!O33</f>
        <v>0</v>
      </c>
      <c r="Q95" s="1">
        <f>'System Parameters'!P33</f>
        <v>0</v>
      </c>
      <c r="R95" s="1">
        <f>'System Parameters'!Q34</f>
        <v>0</v>
      </c>
      <c r="S95" s="1">
        <f>'System Parameters'!I46</f>
        <v>0</v>
      </c>
      <c r="T95" s="1">
        <f>'System Parameters'!J46</f>
        <v>0</v>
      </c>
      <c r="U95" s="1">
        <f>'System Parameters'!K46</f>
        <v>0</v>
      </c>
      <c r="V95" s="1">
        <f>'System Parameters'!L46</f>
        <v>0</v>
      </c>
    </row>
    <row r="96" customHeight="1" spans="1:23">
      <c r="A96" s="1" t="str">
        <f>'System Parameters'!L34</f>
        <v>Hours of Use</v>
      </c>
      <c r="B96" s="1">
        <f>B95*24</f>
        <v>114.784359791911</v>
      </c>
      <c r="C96" s="1" t="str">
        <f>'System Parameters'!N34</f>
        <v>hours</v>
      </c>
      <c r="D96" s="1">
        <f t="shared" ref="D96:O96" si="34">D95*24</f>
        <v>115.356253080488</v>
      </c>
      <c r="E96" s="1">
        <f t="shared" si="34"/>
        <v>115.779776370685</v>
      </c>
      <c r="F96" s="1">
        <f t="shared" si="34"/>
        <v>114.998570924192</v>
      </c>
      <c r="G96" s="1">
        <f t="shared" si="34"/>
        <v>116.526686996371</v>
      </c>
      <c r="H96" s="1">
        <f t="shared" si="34"/>
        <v>116.544556142443</v>
      </c>
      <c r="I96" s="1">
        <f t="shared" si="34"/>
        <v>114.784359791911</v>
      </c>
      <c r="J96" s="1">
        <f t="shared" si="34"/>
        <v>114.998570924192</v>
      </c>
      <c r="K96" s="1">
        <f t="shared" si="34"/>
        <v>115.423557205535</v>
      </c>
      <c r="L96" s="1">
        <f t="shared" si="34"/>
        <v>115.00630517024</v>
      </c>
      <c r="M96" s="1">
        <f t="shared" si="34"/>
        <v>119.561084964407</v>
      </c>
      <c r="N96" s="1">
        <f t="shared" si="34"/>
        <v>115.170904192625</v>
      </c>
      <c r="O96" s="1">
        <f t="shared" si="34"/>
        <v>115.00147114455</v>
      </c>
      <c r="P96" s="1">
        <f>'System Parameters'!O34</f>
        <v>0</v>
      </c>
      <c r="Q96" s="1">
        <f>'System Parameters'!P34</f>
        <v>0</v>
      </c>
      <c r="R96" s="1">
        <f>'System Parameters'!Q35</f>
        <v>0</v>
      </c>
      <c r="S96" s="1">
        <f>'System Parameters'!I47</f>
        <v>0</v>
      </c>
      <c r="T96" s="1">
        <f>'System Parameters'!J47</f>
        <v>0</v>
      </c>
      <c r="U96" s="1">
        <f>'System Parameters'!K47</f>
        <v>0</v>
      </c>
      <c r="V96" s="1">
        <f>'System Parameters'!L47</f>
        <v>0</v>
      </c>
    </row>
    <row r="97" customHeight="1" spans="1:22">
      <c r="A97" s="1">
        <f>'System Parameters'!A48</f>
        <v>0</v>
      </c>
      <c r="B97" s="1">
        <f>'System Parameters'!K36</f>
        <v>0</v>
      </c>
      <c r="C97" s="1">
        <f>'System Parameters'!L36</f>
        <v>0</v>
      </c>
      <c r="D97" s="1">
        <f>'System Parameters'!M36</f>
        <v>0</v>
      </c>
      <c r="O97" s="1">
        <f>'System Parameters'!N36</f>
        <v>0</v>
      </c>
      <c r="P97" s="1">
        <f>'System Parameters'!O36</f>
        <v>0</v>
      </c>
      <c r="Q97" s="1">
        <f>'System Parameters'!P36</f>
        <v>0</v>
      </c>
      <c r="R97" s="1">
        <f>'System Parameters'!Q36</f>
        <v>0</v>
      </c>
      <c r="S97" s="1">
        <f>'System Parameters'!I48</f>
        <v>0</v>
      </c>
      <c r="T97" s="1">
        <f>'System Parameters'!J48</f>
        <v>0</v>
      </c>
      <c r="U97" s="1">
        <f>'System Parameters'!K48</f>
        <v>0</v>
      </c>
      <c r="V97" s="1">
        <f>'System Parameters'!L48</f>
        <v>0</v>
      </c>
    </row>
    <row r="98" customHeight="1" spans="1:22">
      <c r="A98" s="1" t="s">
        <v>41</v>
      </c>
      <c r="B98" s="1">
        <f>'System Parameters'!K37</f>
        <v>0</v>
      </c>
      <c r="C98" s="1">
        <f>'System Parameters'!L37</f>
        <v>0</v>
      </c>
      <c r="D98" s="4">
        <f t="shared" ref="D98:O98" si="35">D96/$B96-1</f>
        <v>0.0049823276412726</v>
      </c>
      <c r="E98" s="4">
        <f t="shared" si="35"/>
        <v>0.00867205759197542</v>
      </c>
      <c r="F98" s="4">
        <f t="shared" si="35"/>
        <v>0.001866204879033</v>
      </c>
      <c r="G98" s="4">
        <f t="shared" si="35"/>
        <v>0.015179134227159</v>
      </c>
      <c r="H98" s="4">
        <f t="shared" si="35"/>
        <v>0.0153348100187425</v>
      </c>
      <c r="I98" s="4">
        <f t="shared" si="35"/>
        <v>0</v>
      </c>
      <c r="J98" s="4">
        <f t="shared" si="35"/>
        <v>0.001866204879033</v>
      </c>
      <c r="K98" s="4">
        <f t="shared" si="35"/>
        <v>0.00556868039149494</v>
      </c>
      <c r="L98" s="4">
        <f t="shared" si="35"/>
        <v>0.001933585540143</v>
      </c>
      <c r="M98" s="4">
        <f t="shared" si="35"/>
        <v>0.0416147738346506</v>
      </c>
      <c r="N98" s="4">
        <f t="shared" si="35"/>
        <v>0.00336757029803003</v>
      </c>
      <c r="O98" s="4">
        <f t="shared" si="35"/>
        <v>0.00189147156487746</v>
      </c>
      <c r="P98" s="1">
        <f>'System Parameters'!O37</f>
        <v>0</v>
      </c>
      <c r="Q98" s="1">
        <f>'System Parameters'!P37</f>
        <v>0</v>
      </c>
      <c r="R98" s="1">
        <f>'System Parameters'!Q37</f>
        <v>0</v>
      </c>
      <c r="S98" s="1">
        <f>'System Parameters'!I49</f>
        <v>0</v>
      </c>
      <c r="T98" s="1">
        <f>'System Parameters'!J49</f>
        <v>0</v>
      </c>
      <c r="U98" s="1">
        <f>'System Parameters'!K49</f>
        <v>0</v>
      </c>
      <c r="V98" s="1">
        <f>'System Parameters'!L49</f>
        <v>0</v>
      </c>
    </row>
    <row r="99" customHeight="1" spans="1:22">
      <c r="A99" s="1" t="s">
        <v>42</v>
      </c>
      <c r="B99" s="1">
        <f>'System Parameters'!K38</f>
        <v>0</v>
      </c>
      <c r="C99" s="1">
        <f>'System Parameters'!L38</f>
        <v>0</v>
      </c>
      <c r="D99" s="1" t="s">
        <v>43</v>
      </c>
      <c r="E99" s="1" t="s">
        <v>44</v>
      </c>
      <c r="F99" s="1" t="s">
        <v>45</v>
      </c>
      <c r="G99" s="1" t="s">
        <v>46</v>
      </c>
      <c r="H99" s="1" t="s">
        <v>47</v>
      </c>
      <c r="I99" s="1" t="s">
        <v>48</v>
      </c>
      <c r="J99" s="1" t="s">
        <v>49</v>
      </c>
      <c r="K99" s="1" t="s">
        <v>50</v>
      </c>
      <c r="L99" s="1" t="s">
        <v>51</v>
      </c>
      <c r="M99" s="1" t="s">
        <v>52</v>
      </c>
      <c r="N99" s="1" t="s">
        <v>53</v>
      </c>
      <c r="O99" s="1" t="s">
        <v>54</v>
      </c>
      <c r="P99" s="1">
        <f>'System Parameters'!O38</f>
        <v>0</v>
      </c>
      <c r="Q99" s="1">
        <f>'System Parameters'!P38</f>
        <v>0</v>
      </c>
      <c r="R99" s="1">
        <f>'System Parameters'!Q38</f>
        <v>0</v>
      </c>
      <c r="S99" s="1">
        <f>'System Parameters'!I50</f>
        <v>0</v>
      </c>
      <c r="T99" s="1">
        <f>'System Parameters'!J50</f>
        <v>0</v>
      </c>
      <c r="U99" s="1">
        <f>'System Parameters'!K50</f>
        <v>0</v>
      </c>
      <c r="V99" s="1">
        <f>'System Parameters'!L50</f>
        <v>0</v>
      </c>
    </row>
    <row r="100" customHeight="1" spans="1:22">
      <c r="A100" s="1">
        <f>'System Parameters'!A51</f>
        <v>0</v>
      </c>
      <c r="B100" s="1">
        <f>'System Parameters'!B51</f>
        <v>0</v>
      </c>
      <c r="C100" s="1">
        <f>'System Parameters'!C51</f>
        <v>0</v>
      </c>
      <c r="D100" s="1">
        <f>'System Parameters'!D51</f>
        <v>0</v>
      </c>
      <c r="O100" s="1">
        <f>'System Parameters'!E51</f>
        <v>0</v>
      </c>
      <c r="P100" s="1">
        <f>'System Parameters'!F51</f>
        <v>0</v>
      </c>
      <c r="Q100" s="1">
        <f>'System Parameters'!G51</f>
        <v>0</v>
      </c>
      <c r="R100" s="1">
        <f>'System Parameters'!H51</f>
        <v>0</v>
      </c>
      <c r="S100" s="1">
        <f>'System Parameters'!I51</f>
        <v>0</v>
      </c>
      <c r="T100" s="1">
        <f>'System Parameters'!J51</f>
        <v>0</v>
      </c>
      <c r="U100" s="1">
        <f>'System Parameters'!K51</f>
        <v>0</v>
      </c>
      <c r="V100" s="1">
        <f>'System Parameters'!L51</f>
        <v>0</v>
      </c>
    </row>
    <row r="101" customHeight="1" spans="1:22">
      <c r="A101" s="1">
        <f>'System Parameters'!A52</f>
        <v>0</v>
      </c>
      <c r="B101" s="1">
        <f>'System Parameters'!B52</f>
        <v>0</v>
      </c>
      <c r="C101" s="1">
        <f>'System Parameters'!C52</f>
        <v>0</v>
      </c>
      <c r="D101" s="1">
        <f>'System Parameters'!D52</f>
        <v>0</v>
      </c>
      <c r="O101" s="1">
        <f>'System Parameters'!E52</f>
        <v>0</v>
      </c>
      <c r="P101" s="1">
        <f>'System Parameters'!F52</f>
        <v>0</v>
      </c>
      <c r="Q101" s="1">
        <f>'System Parameters'!G52</f>
        <v>0</v>
      </c>
      <c r="R101" s="1">
        <f>'System Parameters'!H52</f>
        <v>0</v>
      </c>
      <c r="S101" s="1">
        <f>'System Parameters'!I52</f>
        <v>0</v>
      </c>
      <c r="T101" s="1">
        <f>'System Parameters'!J52</f>
        <v>0</v>
      </c>
      <c r="U101" s="1">
        <f>'System Parameters'!K52</f>
        <v>0</v>
      </c>
      <c r="V101" s="1">
        <f>'System Parameters'!L52</f>
        <v>0</v>
      </c>
    </row>
    <row r="102" customHeight="1" spans="1:22">
      <c r="A102" s="1">
        <f>'System Parameters'!A53</f>
        <v>0</v>
      </c>
      <c r="B102" s="1">
        <f>'System Parameters'!B53</f>
        <v>0</v>
      </c>
      <c r="C102" s="1">
        <f>'System Parameters'!C53</f>
        <v>0</v>
      </c>
      <c r="D102" s="1">
        <f>'System Parameters'!D53</f>
        <v>0</v>
      </c>
      <c r="O102" s="1">
        <f>'System Parameters'!E53</f>
        <v>0</v>
      </c>
      <c r="P102" s="1">
        <f>'System Parameters'!F53</f>
        <v>0</v>
      </c>
      <c r="Q102" s="1">
        <f>'System Parameters'!G53</f>
        <v>0</v>
      </c>
      <c r="R102" s="1">
        <f>'System Parameters'!H53</f>
        <v>0</v>
      </c>
      <c r="S102" s="1">
        <f>'System Parameters'!I53</f>
        <v>0</v>
      </c>
      <c r="T102" s="1">
        <f>'System Parameters'!J53</f>
        <v>0</v>
      </c>
      <c r="U102" s="1">
        <f>'System Parameters'!K53</f>
        <v>0</v>
      </c>
      <c r="V102" s="1">
        <f>'System Parameters'!L53</f>
        <v>0</v>
      </c>
    </row>
    <row r="103" customHeight="1" spans="1:22">
      <c r="A103" s="1">
        <f>'System Parameters'!A54</f>
        <v>0</v>
      </c>
      <c r="B103" s="1">
        <f>'System Parameters'!B54</f>
        <v>0</v>
      </c>
      <c r="C103" s="1">
        <f>'System Parameters'!C54</f>
        <v>0</v>
      </c>
      <c r="D103" s="1">
        <f>'System Parameters'!D54</f>
        <v>0</v>
      </c>
      <c r="O103" s="1">
        <f>'System Parameters'!E54</f>
        <v>0</v>
      </c>
      <c r="P103" s="1">
        <f>'System Parameters'!F54</f>
        <v>0</v>
      </c>
      <c r="Q103" s="1">
        <f>'System Parameters'!G54</f>
        <v>0</v>
      </c>
      <c r="R103" s="1">
        <f>'System Parameters'!H54</f>
        <v>0</v>
      </c>
      <c r="S103" s="1">
        <f>'System Parameters'!I54</f>
        <v>0</v>
      </c>
      <c r="T103" s="1">
        <f>'System Parameters'!J54</f>
        <v>0</v>
      </c>
      <c r="U103" s="1">
        <f>'System Parameters'!K54</f>
        <v>0</v>
      </c>
      <c r="V103" s="1">
        <f>'System Parameters'!L54</f>
        <v>0</v>
      </c>
    </row>
    <row r="104" customHeight="1" spans="1:22">
      <c r="A104" s="1">
        <f>'System Parameters'!A55</f>
        <v>0</v>
      </c>
      <c r="B104" s="1">
        <f>'System Parameters'!B55</f>
        <v>0</v>
      </c>
      <c r="C104" s="1">
        <f>'System Parameters'!C55</f>
        <v>0</v>
      </c>
      <c r="D104" s="1">
        <f>'System Parameters'!D55</f>
        <v>0</v>
      </c>
      <c r="O104" s="1">
        <f>'System Parameters'!E55</f>
        <v>0</v>
      </c>
      <c r="P104" s="1">
        <f>'System Parameters'!F55</f>
        <v>0</v>
      </c>
      <c r="Q104" s="1">
        <f>'System Parameters'!G55</f>
        <v>0</v>
      </c>
      <c r="R104" s="1">
        <f>'System Parameters'!H55</f>
        <v>0</v>
      </c>
      <c r="S104" s="1">
        <f>'System Parameters'!I55</f>
        <v>0</v>
      </c>
      <c r="T104" s="1">
        <f>'System Parameters'!J55</f>
        <v>0</v>
      </c>
      <c r="U104" s="1">
        <f>'System Parameters'!K55</f>
        <v>0</v>
      </c>
      <c r="V104" s="1">
        <f>'System Parameters'!L55</f>
        <v>0</v>
      </c>
    </row>
    <row r="105" customHeight="1" spans="1:22">
      <c r="A105" s="1">
        <f>'System Parameters'!A56</f>
        <v>0</v>
      </c>
      <c r="B105" s="1">
        <f>'System Parameters'!B56</f>
        <v>0</v>
      </c>
      <c r="C105" s="1">
        <f>'System Parameters'!C56</f>
        <v>0</v>
      </c>
      <c r="D105" s="1">
        <f>'System Parameters'!D56</f>
        <v>0</v>
      </c>
      <c r="O105" s="1">
        <f>'System Parameters'!E56</f>
        <v>0</v>
      </c>
      <c r="P105" s="1">
        <f>'System Parameters'!F56</f>
        <v>0</v>
      </c>
      <c r="Q105" s="1">
        <f>'System Parameters'!G56</f>
        <v>0</v>
      </c>
      <c r="R105" s="1">
        <f>'System Parameters'!H56</f>
        <v>0</v>
      </c>
      <c r="S105" s="1">
        <f>'System Parameters'!I56</f>
        <v>0</v>
      </c>
      <c r="T105" s="1">
        <f>'System Parameters'!J56</f>
        <v>0</v>
      </c>
      <c r="U105" s="1">
        <f>'System Parameters'!K56</f>
        <v>0</v>
      </c>
      <c r="V105" s="1">
        <f>'System Parameters'!L56</f>
        <v>0</v>
      </c>
    </row>
    <row r="106" customHeight="1" spans="1:22">
      <c r="A106" s="1">
        <f>'System Parameters'!A57</f>
        <v>0</v>
      </c>
      <c r="B106" s="1">
        <f>'System Parameters'!B57</f>
        <v>0</v>
      </c>
      <c r="C106" s="1">
        <f>'System Parameters'!C57</f>
        <v>0</v>
      </c>
      <c r="D106" s="1">
        <f>'System Parameters'!D57</f>
        <v>0</v>
      </c>
      <c r="O106" s="1">
        <f>'System Parameters'!E57</f>
        <v>0</v>
      </c>
      <c r="P106" s="1">
        <f>'System Parameters'!F57</f>
        <v>0</v>
      </c>
      <c r="Q106" s="1">
        <f>'System Parameters'!G57</f>
        <v>0</v>
      </c>
      <c r="R106" s="1">
        <f>'System Parameters'!H57</f>
        <v>0</v>
      </c>
      <c r="S106" s="1">
        <f>'System Parameters'!I57</f>
        <v>0</v>
      </c>
      <c r="T106" s="1">
        <f>'System Parameters'!J57</f>
        <v>0</v>
      </c>
      <c r="U106" s="1">
        <f>'System Parameters'!K57</f>
        <v>0</v>
      </c>
      <c r="V106" s="1">
        <f>'System Parameters'!L57</f>
        <v>0</v>
      </c>
    </row>
    <row r="107" customHeight="1" spans="1:22">
      <c r="A107" s="1">
        <f>'System Parameters'!A58</f>
        <v>0</v>
      </c>
      <c r="B107" s="1">
        <f>'System Parameters'!B58</f>
        <v>0</v>
      </c>
      <c r="C107" s="1">
        <f>'System Parameters'!C58</f>
        <v>0</v>
      </c>
      <c r="D107" s="1">
        <f>'System Parameters'!D58</f>
        <v>0</v>
      </c>
      <c r="O107" s="1">
        <f>'System Parameters'!E58</f>
        <v>0</v>
      </c>
      <c r="P107" s="1">
        <f>'System Parameters'!F58</f>
        <v>0</v>
      </c>
      <c r="Q107" s="1">
        <f>'System Parameters'!G58</f>
        <v>0</v>
      </c>
      <c r="R107" s="1">
        <f>'System Parameters'!H58</f>
        <v>0</v>
      </c>
      <c r="S107" s="1">
        <f>'System Parameters'!I58</f>
        <v>0</v>
      </c>
      <c r="T107" s="1">
        <f>'System Parameters'!J58</f>
        <v>0</v>
      </c>
      <c r="U107" s="1">
        <f>'System Parameters'!K58</f>
        <v>0</v>
      </c>
      <c r="V107" s="1">
        <f>'System Parameters'!L58</f>
        <v>0</v>
      </c>
    </row>
    <row r="108" customHeight="1" spans="1:22">
      <c r="A108" s="1">
        <f>'System Parameters'!A59</f>
        <v>0</v>
      </c>
      <c r="B108" s="1">
        <f>'System Parameters'!B59</f>
        <v>0</v>
      </c>
      <c r="C108" s="1">
        <f>'System Parameters'!C59</f>
        <v>0</v>
      </c>
      <c r="D108" s="1">
        <f>'System Parameters'!D59</f>
        <v>0</v>
      </c>
      <c r="O108" s="1">
        <f>'System Parameters'!E59</f>
        <v>0</v>
      </c>
      <c r="P108" s="1">
        <f>'System Parameters'!F59</f>
        <v>0</v>
      </c>
      <c r="Q108" s="1">
        <f>'System Parameters'!G59</f>
        <v>0</v>
      </c>
      <c r="R108" s="1">
        <f>'System Parameters'!H59</f>
        <v>0</v>
      </c>
      <c r="S108" s="1">
        <f>'System Parameters'!I59</f>
        <v>0</v>
      </c>
      <c r="T108" s="1">
        <f>'System Parameters'!J59</f>
        <v>0</v>
      </c>
      <c r="U108" s="1">
        <f>'System Parameters'!K59</f>
        <v>0</v>
      </c>
      <c r="V108" s="1">
        <f>'System Parameters'!L59</f>
        <v>0</v>
      </c>
    </row>
    <row r="109" customHeight="1" spans="1:22">
      <c r="A109" s="1">
        <f>'System Parameters'!A60</f>
        <v>0</v>
      </c>
      <c r="B109" s="1">
        <f>'System Parameters'!B60</f>
        <v>0</v>
      </c>
      <c r="C109" s="1">
        <f>'System Parameters'!C60</f>
        <v>0</v>
      </c>
      <c r="D109" s="1">
        <f>'System Parameters'!D60</f>
        <v>0</v>
      </c>
      <c r="O109" s="1">
        <f>'System Parameters'!E60</f>
        <v>0</v>
      </c>
      <c r="P109" s="1">
        <f>'System Parameters'!F60</f>
        <v>0</v>
      </c>
      <c r="Q109" s="1">
        <f>'System Parameters'!G60</f>
        <v>0</v>
      </c>
      <c r="R109" s="1">
        <f>'System Parameters'!H60</f>
        <v>0</v>
      </c>
      <c r="S109" s="1">
        <f>'System Parameters'!I60</f>
        <v>0</v>
      </c>
      <c r="T109" s="1">
        <f>'System Parameters'!J60</f>
        <v>0</v>
      </c>
      <c r="U109" s="1">
        <f>'System Parameters'!K60</f>
        <v>0</v>
      </c>
      <c r="V109" s="1">
        <f>'System Parameters'!L60</f>
        <v>0</v>
      </c>
    </row>
    <row r="110" customHeight="1" spans="1:22">
      <c r="A110" s="1">
        <f>'System Parameters'!A61</f>
        <v>0</v>
      </c>
      <c r="B110" s="1">
        <f>'System Parameters'!B61</f>
        <v>0</v>
      </c>
      <c r="C110" s="1">
        <f>'System Parameters'!C61</f>
        <v>0</v>
      </c>
      <c r="D110" s="1">
        <f>'System Parameters'!D61</f>
        <v>0</v>
      </c>
      <c r="O110" s="1">
        <f>'System Parameters'!E61</f>
        <v>0</v>
      </c>
      <c r="P110" s="1">
        <f>'System Parameters'!F61</f>
        <v>0</v>
      </c>
      <c r="Q110" s="1">
        <f>'System Parameters'!G61</f>
        <v>0</v>
      </c>
      <c r="R110" s="1">
        <f>'System Parameters'!H61</f>
        <v>0</v>
      </c>
      <c r="S110" s="1">
        <f>'System Parameters'!I61</f>
        <v>0</v>
      </c>
      <c r="T110" s="1">
        <f>'System Parameters'!J61</f>
        <v>0</v>
      </c>
      <c r="U110" s="1">
        <f>'System Parameters'!K61</f>
        <v>0</v>
      </c>
      <c r="V110" s="1">
        <f>'System Parameters'!L61</f>
        <v>0</v>
      </c>
    </row>
    <row r="111" customHeight="1" spans="1:22">
      <c r="A111" s="1">
        <f>'System Parameters'!A62</f>
        <v>0</v>
      </c>
      <c r="B111" s="1">
        <f>'System Parameters'!B62</f>
        <v>0</v>
      </c>
      <c r="C111" s="1">
        <f>'System Parameters'!C62</f>
        <v>0</v>
      </c>
      <c r="D111" s="1">
        <f>'System Parameters'!D62</f>
        <v>0</v>
      </c>
      <c r="O111" s="1">
        <f>'System Parameters'!E62</f>
        <v>0</v>
      </c>
      <c r="P111" s="1">
        <f>'System Parameters'!F62</f>
        <v>0</v>
      </c>
      <c r="Q111" s="1">
        <f>'System Parameters'!G62</f>
        <v>0</v>
      </c>
      <c r="R111" s="1">
        <f>'System Parameters'!H62</f>
        <v>0</v>
      </c>
      <c r="S111" s="1">
        <f>'System Parameters'!I62</f>
        <v>0</v>
      </c>
      <c r="T111" s="1">
        <f>'System Parameters'!J62</f>
        <v>0</v>
      </c>
      <c r="U111" s="1">
        <f>'System Parameters'!K62</f>
        <v>0</v>
      </c>
      <c r="V111" s="1">
        <f>'System Parameters'!L62</f>
        <v>0</v>
      </c>
    </row>
    <row r="112" customHeight="1" spans="1:22">
      <c r="A112" s="1">
        <f>'System Parameters'!A63</f>
        <v>0</v>
      </c>
      <c r="B112" s="1">
        <f>'System Parameters'!B63</f>
        <v>0</v>
      </c>
      <c r="C112" s="1">
        <f>'System Parameters'!C63</f>
        <v>0</v>
      </c>
      <c r="D112" s="1">
        <f>'System Parameters'!D63</f>
        <v>0</v>
      </c>
      <c r="O112" s="1">
        <f>'System Parameters'!E63</f>
        <v>0</v>
      </c>
      <c r="P112" s="1">
        <f>'System Parameters'!F63</f>
        <v>0</v>
      </c>
      <c r="Q112" s="1">
        <f>'System Parameters'!G63</f>
        <v>0</v>
      </c>
      <c r="R112" s="1">
        <f>'System Parameters'!H63</f>
        <v>0</v>
      </c>
      <c r="S112" s="1">
        <f>'System Parameters'!I63</f>
        <v>0</v>
      </c>
      <c r="T112" s="1">
        <f>'System Parameters'!J63</f>
        <v>0</v>
      </c>
      <c r="U112" s="1">
        <f>'System Parameters'!K63</f>
        <v>0</v>
      </c>
      <c r="V112" s="1">
        <f>'System Parameters'!L63</f>
        <v>0</v>
      </c>
    </row>
    <row r="113" customHeight="1" spans="1:22">
      <c r="A113" s="1">
        <f>'System Parameters'!A64</f>
        <v>0</v>
      </c>
      <c r="B113" s="1">
        <f>'System Parameters'!B64</f>
        <v>0</v>
      </c>
      <c r="C113" s="1">
        <f>'System Parameters'!C64</f>
        <v>0</v>
      </c>
      <c r="D113" s="1">
        <f>'System Parameters'!D64</f>
        <v>0</v>
      </c>
      <c r="O113" s="1">
        <f>'System Parameters'!E64</f>
        <v>0</v>
      </c>
      <c r="P113" s="1">
        <f>'System Parameters'!F64</f>
        <v>0</v>
      </c>
      <c r="Q113" s="1">
        <f>'System Parameters'!G64</f>
        <v>0</v>
      </c>
      <c r="R113" s="1">
        <f>'System Parameters'!H64</f>
        <v>0</v>
      </c>
      <c r="S113" s="1">
        <f>'System Parameters'!I64</f>
        <v>0</v>
      </c>
      <c r="T113" s="1">
        <f>'System Parameters'!J64</f>
        <v>0</v>
      </c>
      <c r="U113" s="1">
        <f>'System Parameters'!K64</f>
        <v>0</v>
      </c>
      <c r="V113" s="1">
        <f>'System Parameters'!L64</f>
        <v>0</v>
      </c>
    </row>
    <row r="114" customHeight="1" spans="1:22">
      <c r="A114" s="1">
        <f>'System Parameters'!A65</f>
        <v>0</v>
      </c>
      <c r="B114" s="1">
        <f>'System Parameters'!B65</f>
        <v>0</v>
      </c>
      <c r="C114" s="1">
        <f>'System Parameters'!C65</f>
        <v>0</v>
      </c>
      <c r="D114" s="1">
        <f>'System Parameters'!D65</f>
        <v>0</v>
      </c>
      <c r="O114" s="1">
        <f>'System Parameters'!E65</f>
        <v>0</v>
      </c>
      <c r="P114" s="1">
        <f>'System Parameters'!F65</f>
        <v>0</v>
      </c>
      <c r="Q114" s="1">
        <f>'System Parameters'!G65</f>
        <v>0</v>
      </c>
      <c r="R114" s="1">
        <f>'System Parameters'!H65</f>
        <v>0</v>
      </c>
      <c r="S114" s="1">
        <f>'System Parameters'!I65</f>
        <v>0</v>
      </c>
      <c r="T114" s="1">
        <f>'System Parameters'!J65</f>
        <v>0</v>
      </c>
      <c r="U114" s="1">
        <f>'System Parameters'!K65</f>
        <v>0</v>
      </c>
      <c r="V114" s="1">
        <f>'System Parameters'!L65</f>
        <v>0</v>
      </c>
    </row>
    <row r="115" customHeight="1" spans="1:22">
      <c r="A115" s="1">
        <f>'System Parameters'!A66</f>
        <v>0</v>
      </c>
      <c r="B115" s="1">
        <f>'System Parameters'!B66</f>
        <v>0</v>
      </c>
      <c r="C115" s="1">
        <f>'System Parameters'!C66</f>
        <v>0</v>
      </c>
      <c r="D115" s="1">
        <f>'System Parameters'!D66</f>
        <v>0</v>
      </c>
      <c r="O115" s="1">
        <f>'System Parameters'!E66</f>
        <v>0</v>
      </c>
      <c r="P115" s="1">
        <f>'System Parameters'!F66</f>
        <v>0</v>
      </c>
      <c r="Q115" s="1">
        <f>'System Parameters'!G66</f>
        <v>0</v>
      </c>
      <c r="R115" s="1">
        <f>'System Parameters'!H66</f>
        <v>0</v>
      </c>
      <c r="S115" s="1">
        <f>'System Parameters'!I66</f>
        <v>0</v>
      </c>
      <c r="T115" s="1">
        <f>'System Parameters'!J66</f>
        <v>0</v>
      </c>
      <c r="U115" s="1">
        <f>'System Parameters'!K66</f>
        <v>0</v>
      </c>
      <c r="V115" s="1">
        <f>'System Parameters'!L66</f>
        <v>0</v>
      </c>
    </row>
    <row r="116" customHeight="1" spans="1:22">
      <c r="A116" s="1">
        <f>'System Parameters'!A67</f>
        <v>0</v>
      </c>
      <c r="B116" s="1">
        <f>'System Parameters'!B67</f>
        <v>0</v>
      </c>
      <c r="C116" s="1">
        <f>'System Parameters'!C67</f>
        <v>0</v>
      </c>
      <c r="D116" s="1">
        <f>'System Parameters'!D67</f>
        <v>0</v>
      </c>
      <c r="O116" s="1">
        <f>'System Parameters'!E67</f>
        <v>0</v>
      </c>
      <c r="P116" s="1">
        <f>'System Parameters'!F67</f>
        <v>0</v>
      </c>
      <c r="Q116" s="1">
        <f>'System Parameters'!G67</f>
        <v>0</v>
      </c>
      <c r="R116" s="1">
        <f>'System Parameters'!H67</f>
        <v>0</v>
      </c>
      <c r="S116" s="1">
        <f>'System Parameters'!I67</f>
        <v>0</v>
      </c>
      <c r="T116" s="1">
        <f>'System Parameters'!J67</f>
        <v>0</v>
      </c>
      <c r="U116" s="1">
        <f>'System Parameters'!K67</f>
        <v>0</v>
      </c>
      <c r="V116" s="1">
        <f>'System Parameters'!L67</f>
        <v>0</v>
      </c>
    </row>
    <row r="117" customHeight="1" spans="1:22">
      <c r="A117" s="1">
        <f>'System Parameters'!A68</f>
        <v>0</v>
      </c>
      <c r="B117" s="1">
        <f>'System Parameters'!B68</f>
        <v>0</v>
      </c>
      <c r="C117" s="1">
        <f>'System Parameters'!C68</f>
        <v>0</v>
      </c>
      <c r="D117" s="1">
        <f>'System Parameters'!D68</f>
        <v>0</v>
      </c>
      <c r="O117" s="1">
        <f>'System Parameters'!E68</f>
        <v>0</v>
      </c>
      <c r="P117" s="1">
        <f>'System Parameters'!F68</f>
        <v>0</v>
      </c>
      <c r="Q117" s="1">
        <f>'System Parameters'!G68</f>
        <v>0</v>
      </c>
      <c r="R117" s="1">
        <f>'System Parameters'!H68</f>
        <v>0</v>
      </c>
      <c r="S117" s="1">
        <f>'System Parameters'!I68</f>
        <v>0</v>
      </c>
      <c r="T117" s="1">
        <f>'System Parameters'!J68</f>
        <v>0</v>
      </c>
      <c r="U117" s="1">
        <f>'System Parameters'!K68</f>
        <v>0</v>
      </c>
      <c r="V117" s="1">
        <f>'System Parameters'!L68</f>
        <v>0</v>
      </c>
    </row>
    <row r="118" customHeight="1" spans="1:22">
      <c r="A118" s="1">
        <f>'System Parameters'!A69</f>
        <v>0</v>
      </c>
      <c r="B118" s="1">
        <f>'System Parameters'!B69</f>
        <v>0</v>
      </c>
      <c r="C118" s="1">
        <f>'System Parameters'!C69</f>
        <v>0</v>
      </c>
      <c r="D118" s="1">
        <f>'System Parameters'!D69</f>
        <v>0</v>
      </c>
      <c r="O118" s="1">
        <f>'System Parameters'!E69</f>
        <v>0</v>
      </c>
      <c r="P118" s="1">
        <f>'System Parameters'!F69</f>
        <v>0</v>
      </c>
      <c r="Q118" s="1">
        <f>'System Parameters'!G69</f>
        <v>0</v>
      </c>
      <c r="R118" s="1">
        <f>'System Parameters'!H69</f>
        <v>0</v>
      </c>
      <c r="S118" s="1">
        <f>'System Parameters'!I69</f>
        <v>0</v>
      </c>
      <c r="T118" s="1">
        <f>'System Parameters'!J69</f>
        <v>0</v>
      </c>
      <c r="U118" s="1">
        <f>'System Parameters'!K69</f>
        <v>0</v>
      </c>
      <c r="V118" s="1">
        <f>'System Parameters'!L69</f>
        <v>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System Parameters</vt:lpstr>
      <vt:lpstr>Sensitivity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yqy</dc:creator>
  <cp:lastModifiedBy>Qianyu_</cp:lastModifiedBy>
  <dcterms:created xsi:type="dcterms:W3CDTF">2026-02-07T04:32:00Z</dcterms:created>
  <dcterms:modified xsi:type="dcterms:W3CDTF">2026-02-08T19:28:11Z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D48A2E620409487B8439B026528974A4_13</vt:lpwstr>
  </property>
  <property fmtid="{D5CDD505-2E9C-101B-9397-08002B2CF9AE}" pid="3" name="KSOProductBuildVer">
    <vt:lpwstr>2052-12.1.0.25225</vt:lpwstr>
  </property>
  <property fmtid="{D5CDD505-2E9C-101B-9397-08002B2CF9AE}" pid="4" name="CalculationRule">
    <vt:i4>0</vt:i4>
  </property>
</Properties>
</file>