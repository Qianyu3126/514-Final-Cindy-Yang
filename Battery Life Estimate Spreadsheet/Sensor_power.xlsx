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20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<sst xmlns="http://schemas.openxmlformats.org/spreadsheetml/2006/main" count="75" uniqueCount="55">
  <si>
    <t>System Parameters (defined by hardware)</t>
  </si>
  <si>
    <t>Profiles (usage of each component mode - defined by software and usage)</t>
  </si>
  <si>
    <t>form the datasheets</t>
  </si>
  <si>
    <t>"off"</t>
  </si>
  <si>
    <t>"sensing"</t>
  </si>
  <si>
    <t>"interactive"</t>
  </si>
  <si>
    <t>Processor</t>
  </si>
  <si>
    <t>Active</t>
  </si>
  <si>
    <t>mW</t>
  </si>
  <si>
    <t>Idle</t>
  </si>
  <si>
    <t>Sleep</t>
  </si>
  <si>
    <t>LED (N/A)</t>
  </si>
  <si>
    <t>On</t>
  </si>
  <si>
    <t>Sensor (ADXL345)</t>
  </si>
  <si>
    <t>Off</t>
  </si>
  <si>
    <t>Display (N/A)</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</si>
  <si>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</si>
  <si>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</si>
  <si>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</si>
  <si>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</si>
  <si>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</si>
  <si>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</si>
  <si>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</si>
  <si>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</si>
  <si>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</si>
  <si>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</si>
  <si>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</si>
  <si>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</si>
  <si>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</si>
  <si>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</si>
  <si>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</si>
  <si>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</si>
  <si>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</si>
  <si>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</si>
  <si>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</si>
  <si>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</si>
  <si>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</si>
  <si>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</si>
  <si>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 xml:space="preserve">REFLECTIONS : WHAT DID YOU LEARN FROM ANALYZING YOUR POWER.  TALK ABOUT SOME POTENTIAL TRADEOFFS. </t>
  </si>
  <si>
    <t>The “days of use” metric was calculated by modeling the device’s average power consumption across three usage profiles with defined daily durations. The weighted power consumption of the processor, sensor, and radio in each profile was combined to estimate total daily energy use, which was then compared against the effective battery capacity to determine total operating time. Analyzing the power consumption of this device highlighted how strongly battery life is dominated by radio activity rather than sensing or computation. Although the accelerometer and processor spend most of their time in low-power states, short periods of BLE transmission significantly reduce overall days of use, resulting in approximately 1.7 days of operation with a 3.3V 430 mAh battery. This revealed key tradeoffs between battery size, device form factor, and communication frequency. Software-level optimizations such as reducing transmission frequency or batching activity events could substantially improve battery life with minimal cost or hardware changes, while increasing battery capacity would extend usage time at the expense of size and wearability. Overall, the exercise demonstrated that careful power modeling is essential for making informed hardware and software design decisions in wearable systems.</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</si>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</sst>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3">
    <font>
      <sz val="10"/>
      <color rgb="FF000000"/>
      <name val="Arial"/>
      <charset val="134"/>
      <scheme val="minor"/>
    </font>
    <font>
      <sz val="10"/>
      <color theme="1"/>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6" borderId="12" applyNumberFormat="0" applyAlignment="0" applyProtection="0">
      <alignment vertical="center"/>
    </xf>
    <xf numFmtId="0" fontId="13" fillId="7" borderId="13" applyNumberFormat="0" applyAlignment="0" applyProtection="0">
      <alignment vertical="center"/>
    </xf>
    <xf numFmtId="0" fontId="14" fillId="7" borderId="12" applyNumberFormat="0" applyAlignment="0" applyProtection="0">
      <alignment vertical="center"/>
    </xf>
    <xf numFmtId="0" fontId="15" fillId="8"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32">
    <xf numFmtId="0" fontId="0" fillId="0" borderId="0" xfId="0" applyFont="1" applyAlignment="1"/>
    <xf numFmtId="0" fontId="1" fillId="0" borderId="0" xfId="0" applyFont="1" applyAlignment="1"/>
    <xf numFmtId="0" fontId="1" fillId="0" borderId="0" xfId="0" applyFont="1"/>
    <xf numFmtId="1" fontId="1" fillId="0" borderId="0" xfId="0" applyNumberFormat="1" applyFont="1"/>
    <xf numFmtId="9" fontId="1" fillId="0" borderId="0" xfId="0" applyNumberFormat="1" applyFont="1"/>
    <xf numFmtId="10" fontId="1" fillId="0" borderId="0" xfId="0" applyNumberFormat="1" applyFont="1"/>
    <xf numFmtId="0" fontId="0" fillId="0" borderId="0" xfId="0" applyFont="1" applyAlignment="1">
      <alignment horizontal="left"/>
    </xf>
    <xf numFmtId="0" fontId="1" fillId="0" borderId="1" xfId="0" applyFont="1" applyBorder="1"/>
    <xf numFmtId="0" fontId="1" fillId="0" borderId="2" xfId="0" applyFont="1" applyBorder="1"/>
    <xf numFmtId="0" fontId="1" fillId="0" borderId="3" xfId="0" applyFont="1" applyBorder="1"/>
    <xf numFmtId="0" fontId="2" fillId="0" borderId="4" xfId="0" applyFont="1" applyBorder="1" applyAlignment="1"/>
    <xf numFmtId="0" fontId="2" fillId="0" borderId="0" xfId="0" applyFont="1" applyAlignment="1"/>
    <xf numFmtId="0" fontId="1" fillId="0" borderId="5" xfId="0" applyFont="1" applyBorder="1"/>
    <xf numFmtId="0" fontId="1" fillId="0" borderId="4" xfId="0" applyFont="1" applyBorder="1"/>
    <xf numFmtId="0" fontId="3" fillId="0" borderId="0" xfId="0" applyFont="1" applyAlignment="1"/>
    <xf numFmtId="0" fontId="1" fillId="0" borderId="4" xfId="0" applyFont="1" applyBorder="1" applyAlignment="1"/>
    <xf numFmtId="1" fontId="3" fillId="2" borderId="0" xfId="0" applyNumberFormat="1" applyFont="1" applyFill="1" applyAlignment="1"/>
    <xf numFmtId="9" fontId="1" fillId="2" borderId="0" xfId="0" applyNumberFormat="1" applyFont="1" applyFill="1" applyAlignment="1"/>
    <xf numFmtId="9" fontId="3" fillId="2" borderId="0" xfId="0" applyNumberFormat="1" applyFont="1" applyFill="1" applyAlignment="1"/>
    <xf numFmtId="1" fontId="1" fillId="2" borderId="0" xfId="0" applyNumberFormat="1" applyFont="1" applyFill="1" applyAlignment="1"/>
    <xf numFmtId="3" fontId="1" fillId="2" borderId="0" xfId="0" applyNumberFormat="1" applyFont="1" applyFill="1" applyAlignment="1"/>
    <xf numFmtId="0" fontId="1" fillId="3" borderId="0" xfId="0" applyFont="1" applyFill="1" applyAlignment="1"/>
    <xf numFmtId="0" fontId="1" fillId="3" borderId="0" xfId="0" applyFont="1" applyFill="1"/>
    <xf numFmtId="178" fontId="1" fillId="3" borderId="0" xfId="0" applyNumberFormat="1" applyFont="1" applyFill="1"/>
    <xf numFmtId="0" fontId="1" fillId="2" borderId="0" xfId="0" applyFont="1" applyFill="1" applyAlignment="1"/>
    <xf numFmtId="0" fontId="2" fillId="4" borderId="0" xfId="0" applyFont="1" applyFill="1" applyAlignment="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0" fontId="0" fillId="0" borderId="0" xfId="0" applyFont="1" applyAlignment="1">
      <alignment horizontal="center"/>
    </xf>
    <xf numFmtId="0" fontId="0" fillId="0" borderId="0" xfId="0" applyFont="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zh-CN"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none"/>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0.011702416710653</c:v>
                </c:pt>
                <c:pt idx="1">
                  <c:v>0.0126905085359625</c:v>
                </c:pt>
                <c:pt idx="2">
                  <c:v>0.00295555913805146</c:v>
                </c:pt>
                <c:pt idx="3">
                  <c:v>0</c:v>
                </c:pt>
                <c:pt idx="4">
                  <c:v>0.000334981442028148</c:v>
                </c:pt>
                <c:pt idx="5">
                  <c:v>0.000469036866297845</c:v>
                </c:pt>
                <c:pt idx="6">
                  <c:v>0</c:v>
                </c:pt>
                <c:pt idx="7">
                  <c:v>0</c:v>
                </c:pt>
                <c:pt idx="8">
                  <c:v>0</c:v>
                </c:pt>
                <c:pt idx="9">
                  <c:v>0.0681241013241383</c:v>
                </c:pt>
                <c:pt idx="10">
                  <c:v>0.00538677009265265</c:v>
                </c:pt>
                <c:pt idx="11">
                  <c:v>0.00302293399255693</c:v>
                </c:pt>
              </c:numCache>
            </c:numRef>
          </c:val>
        </c:ser>
        <c:dLbls>
          <c:showLegendKey val="0"/>
          <c:showVal val="0"/>
          <c:showCatName val="0"/>
          <c:showSerName val="0"/>
          <c:showPercent val="0"/>
          <c:showBubbleSize val="0"/>
        </c:dLbls>
        <c:gapWidth val="150"/>
        <c:axId val="971185811"/>
        <c:axId val="1742482868"/>
      </c:barChart>
      <c:catAx>
        <c:axId val="971185811"/>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1742482868"/>
        <c:crosses val="autoZero"/>
        <c:auto val="1"/>
        <c:lblAlgn val="ctr"/>
        <c:lblOffset val="100"/>
        <c:noMultiLvlLbl val="0"/>
      </c:catAx>
      <c:valAx>
        <c:axId val="1742482868"/>
        <c:scaling>
          <c:orientation val="minMax"/>
        </c:scaling>
        <c:delete val="0"/>
        <c:axPos val="l"/>
        <c:numFmt formatCode="0.00%" sourceLinked="1"/>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971185811"/>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9c486cc1-3671-431e-a992-76afbf049aaa}"/>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zh-CN"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none"/>
        <c:varyColors val="0"/>
        <c:ser>
          <c:idx val="0"/>
          <c:order val="0"/>
          <c:invertIfNegative val="0"/>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0.011702416710653</c:v>
                </c:pt>
                <c:pt idx="1">
                  <c:v>0.0126905085359625</c:v>
                </c:pt>
                <c:pt idx="2">
                  <c:v>0.00295555913805146</c:v>
                </c:pt>
                <c:pt idx="3">
                  <c:v>0</c:v>
                </c:pt>
                <c:pt idx="4">
                  <c:v>0.000334981442028148</c:v>
                </c:pt>
                <c:pt idx="5">
                  <c:v>0.000469036866297845</c:v>
                </c:pt>
                <c:pt idx="6">
                  <c:v>0</c:v>
                </c:pt>
                <c:pt idx="7">
                  <c:v>0</c:v>
                </c:pt>
                <c:pt idx="8">
                  <c:v>0</c:v>
                </c:pt>
                <c:pt idx="9">
                  <c:v>0.0681241013241383</c:v>
                </c:pt>
                <c:pt idx="10">
                  <c:v>0.00538677009265265</c:v>
                </c:pt>
                <c:pt idx="11">
                  <c:v>0.00302293399255693</c:v>
                </c:pt>
              </c:numCache>
            </c:numRef>
          </c:val>
        </c:ser>
        <c:dLbls>
          <c:showLegendKey val="0"/>
          <c:showVal val="0"/>
          <c:showCatName val="0"/>
          <c:showSerName val="0"/>
          <c:showPercent val="0"/>
          <c:showBubbleSize val="0"/>
        </c:dLbls>
        <c:gapWidth val="150"/>
        <c:axId val="1439421429"/>
        <c:axId val="586397943"/>
      </c:barChart>
      <c:catAx>
        <c:axId val="1439421429"/>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586397943"/>
        <c:crosses val="autoZero"/>
        <c:auto val="1"/>
        <c:lblAlgn val="ctr"/>
        <c:lblOffset val="100"/>
        <c:noMultiLvlLbl val="0"/>
      </c:catAx>
      <c:valAx>
        <c:axId val="586397943"/>
        <c:scaling>
          <c:orientation val="minMax"/>
        </c:scaling>
        <c:delete val="0"/>
        <c:axPos val="l"/>
        <c:numFmt formatCode="0.00%" sourceLinked="1"/>
        <c:majorTickMark val="out"/>
        <c:minorTickMark val="none"/>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439421429"/>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0e0fb77c-de7e-481b-b5ee-affdf18ca750}"/>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0</xdr:row>
      <xdr:rowOff>180975</xdr:rowOff>
    </xdr:from>
    <xdr:ext cx="6743700" cy="4171950"/>
    <xdr:graphicFrame>
      <xdr:nvGraphicFramePr>
        <xdr:cNvPr id="2" name="Chart 1" title="Chart"/>
        <xdr:cNvGraphicFramePr/>
      </xdr:nvGraphicFramePr>
      <xdr:xfrm>
        <a:off x="9204325" y="180975"/>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11330305" y="1495425"/>
          <a:ext cx="3086100" cy="6381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657225</xdr:colOff>
      <xdr:row>2</xdr:row>
      <xdr:rowOff>171450</xdr:rowOff>
    </xdr:from>
    <xdr:ext cx="6743700" cy="4171950"/>
    <xdr:graphicFrame>
      <xdr:nvGraphicFramePr>
        <xdr:cNvPr id="2" name="Chart 2" title="Chart"/>
        <xdr:cNvGraphicFramePr/>
      </xdr:nvGraphicFramePr>
      <xdr:xfrm>
        <a:off x="657225" y="571500"/>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208020" y="1847850"/>
          <a:ext cx="3371850" cy="84772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2:Q40"/>
  <sheetViews>
    <sheetView tabSelected="1" zoomScale="85" zoomScaleNormal="85" workbookViewId="0">
      <selection activeCell="S30" sqref="S30"/>
    </sheetView>
  </sheetViews>
  <sheetFormatPr defaultColWidth="12.6272727272727" defaultRowHeight="15.75" customHeight="1"/>
  <cols>
    <col min="1" max="1" width="18" customWidth="1"/>
    <col min="5" max="5" width="12.7545454545455" customWidth="1"/>
  </cols>
  <sheetData>
    <row r="2" customHeight="1" spans="1:9">
      <c r="A2" s="7"/>
      <c r="B2" s="8"/>
      <c r="C2" s="8"/>
      <c r="D2" s="8"/>
      <c r="E2" s="8"/>
      <c r="F2" s="8"/>
      <c r="G2" s="8"/>
      <c r="H2" s="8"/>
      <c r="I2" s="9"/>
    </row>
    <row r="3" customHeight="1" spans="1:9">
      <c r="A3" s="10" t="s">
        <v>0</v>
      </c>
      <c r="E3" s="11" t="s">
        <v>1</v>
      </c>
      <c r="I3" s="12"/>
    </row>
    <row r="4" customHeight="1" spans="1:9">
      <c r="A4" s="13"/>
      <c r="B4" s="14" t="s">
        <v>2</v>
      </c>
      <c r="I4" s="12"/>
    </row>
    <row r="5" customHeight="1" spans="1:9">
      <c r="A5" s="13"/>
      <c r="E5" s="1" t="s">
        <v>3</v>
      </c>
      <c r="F5" s="1" t="s">
        <v>4</v>
      </c>
      <c r="G5" s="1" t="s">
        <v>5</v>
      </c>
      <c r="I5" s="12"/>
    </row>
    <row r="6" customHeight="1" spans="1:9">
      <c r="A6" s="10" t="s">
        <v>6</v>
      </c>
      <c r="I6" s="12"/>
    </row>
    <row r="7" customHeight="1" spans="1:9">
      <c r="A7" s="15" t="s">
        <v>7</v>
      </c>
      <c r="B7" s="16">
        <v>90.9</v>
      </c>
      <c r="C7" s="1" t="s">
        <v>8</v>
      </c>
      <c r="E7" s="17">
        <v>0</v>
      </c>
      <c r="F7" s="18">
        <v>0.05</v>
      </c>
      <c r="G7" s="17">
        <v>0.7</v>
      </c>
      <c r="I7" s="12"/>
    </row>
    <row r="8" customHeight="1" spans="1:9">
      <c r="A8" s="15" t="s">
        <v>9</v>
      </c>
      <c r="B8" s="19">
        <v>89.1</v>
      </c>
      <c r="C8" s="1" t="s">
        <v>8</v>
      </c>
      <c r="E8" s="17">
        <v>0</v>
      </c>
      <c r="F8" s="18">
        <v>0.15</v>
      </c>
      <c r="G8" s="17">
        <v>0.3</v>
      </c>
      <c r="I8" s="12"/>
    </row>
    <row r="9" customHeight="1" spans="1:9">
      <c r="A9" s="15" t="s">
        <v>10</v>
      </c>
      <c r="B9" s="19">
        <v>1</v>
      </c>
      <c r="C9" s="1" t="s">
        <v>8</v>
      </c>
      <c r="E9" s="17">
        <v>1</v>
      </c>
      <c r="F9" s="17">
        <v>0.8</v>
      </c>
      <c r="G9" s="17">
        <v>0</v>
      </c>
      <c r="I9" s="12"/>
    </row>
    <row r="10" customHeight="1" spans="1:9">
      <c r="A10" s="13"/>
      <c r="I10" s="12"/>
    </row>
    <row r="11" customHeight="1" spans="1:9">
      <c r="A11" s="10" t="s">
        <v>11</v>
      </c>
      <c r="I11" s="12"/>
    </row>
    <row r="12" customHeight="1" spans="1:9">
      <c r="A12" s="15" t="s">
        <v>12</v>
      </c>
      <c r="B12" s="19">
        <v>0</v>
      </c>
      <c r="C12" s="1" t="s">
        <v>8</v>
      </c>
      <c r="E12" s="17">
        <v>0</v>
      </c>
      <c r="F12" s="17">
        <v>0</v>
      </c>
      <c r="G12" s="17">
        <v>0</v>
      </c>
      <c r="I12" s="12"/>
    </row>
    <row r="13" customHeight="1" spans="1:9">
      <c r="A13" s="13"/>
      <c r="B13" s="3"/>
      <c r="I13" s="12"/>
    </row>
    <row r="14" customHeight="1" spans="1:9">
      <c r="A14" s="13"/>
      <c r="B14" s="3"/>
      <c r="I14" s="12"/>
    </row>
    <row r="15" customHeight="1" spans="1:9">
      <c r="A15" s="10" t="s">
        <v>13</v>
      </c>
      <c r="B15" s="3"/>
      <c r="I15" s="12"/>
    </row>
    <row r="16" customHeight="1" spans="1:9">
      <c r="A16" s="15" t="s">
        <v>12</v>
      </c>
      <c r="B16" s="19">
        <v>1</v>
      </c>
      <c r="C16" s="1" t="s">
        <v>8</v>
      </c>
      <c r="E16" s="17">
        <v>0</v>
      </c>
      <c r="F16" s="17">
        <v>0.3</v>
      </c>
      <c r="G16" s="17">
        <v>1</v>
      </c>
      <c r="I16" s="12"/>
    </row>
    <row r="17" customHeight="1" spans="1:17">
      <c r="A17" s="15" t="s">
        <v>9</v>
      </c>
      <c r="B17" s="19">
        <v>1</v>
      </c>
      <c r="C17" s="1" t="s">
        <v>8</v>
      </c>
      <c r="E17" s="17">
        <v>0</v>
      </c>
      <c r="F17" s="17">
        <v>0.7</v>
      </c>
      <c r="G17" s="17">
        <v>0</v>
      </c>
      <c r="I17" s="12"/>
    </row>
    <row r="18" customHeight="1" spans="1:17">
      <c r="A18" s="15" t="s">
        <v>14</v>
      </c>
      <c r="B18" s="19">
        <v>0</v>
      </c>
      <c r="C18" s="1" t="s">
        <v>8</v>
      </c>
      <c r="E18" s="17">
        <v>1</v>
      </c>
      <c r="F18" s="17">
        <v>0</v>
      </c>
      <c r="G18" s="17">
        <v>0</v>
      </c>
      <c r="I18" s="12"/>
    </row>
    <row r="19" customHeight="1" spans="1:17">
      <c r="A19" s="13"/>
      <c r="B19" s="3"/>
      <c r="I19" s="12"/>
    </row>
    <row r="20" customHeight="1" spans="1:17">
      <c r="A20" s="10" t="s">
        <v>15</v>
      </c>
      <c r="B20" s="3"/>
      <c r="I20" s="12"/>
    </row>
    <row r="21" customHeight="1" spans="1:17">
      <c r="A21" s="15" t="s">
        <v>12</v>
      </c>
      <c r="B21" s="19">
        <v>0</v>
      </c>
      <c r="C21" s="1" t="s">
        <v>8</v>
      </c>
      <c r="E21" s="17">
        <v>0</v>
      </c>
      <c r="F21" s="17">
        <v>0</v>
      </c>
      <c r="G21" s="17">
        <v>0</v>
      </c>
      <c r="I21" s="12"/>
    </row>
    <row r="22" customHeight="1" spans="1:17">
      <c r="A22" s="15" t="s">
        <v>16</v>
      </c>
      <c r="B22" s="19">
        <v>0</v>
      </c>
      <c r="C22" s="1" t="s">
        <v>8</v>
      </c>
      <c r="E22" s="17">
        <v>0</v>
      </c>
      <c r="F22" s="17">
        <v>0</v>
      </c>
      <c r="G22" s="17">
        <v>0</v>
      </c>
      <c r="I22" s="12"/>
    </row>
    <row r="23" customHeight="1" spans="1:17">
      <c r="A23" s="13"/>
      <c r="I23" s="12"/>
    </row>
    <row r="24" customHeight="1" spans="1:17">
      <c r="A24" s="10" t="s">
        <v>17</v>
      </c>
      <c r="I24" s="12"/>
      <c r="K24" s="7"/>
      <c r="L24" s="8"/>
      <c r="M24" s="8"/>
      <c r="N24" s="8"/>
      <c r="O24" s="8"/>
      <c r="P24" s="8"/>
      <c r="Q24" s="9"/>
    </row>
    <row r="25" customHeight="1" spans="1:17">
      <c r="A25" s="15" t="s">
        <v>18</v>
      </c>
      <c r="B25" s="20">
        <v>200</v>
      </c>
      <c r="C25" s="1" t="s">
        <v>19</v>
      </c>
      <c r="E25" s="17">
        <v>0</v>
      </c>
      <c r="F25" s="17">
        <v>0</v>
      </c>
      <c r="G25" s="17">
        <v>0</v>
      </c>
      <c r="I25" s="12"/>
      <c r="K25" s="13"/>
      <c r="L25" s="21" t="s">
        <v>20</v>
      </c>
      <c r="M25" s="22"/>
      <c r="N25" s="22"/>
      <c r="O25" s="21" t="s">
        <v>21</v>
      </c>
      <c r="P25" s="22"/>
      <c r="Q25" s="12"/>
    </row>
    <row r="26" customHeight="1" spans="1:17">
      <c r="A26" s="15" t="s">
        <v>22</v>
      </c>
      <c r="B26" s="19">
        <v>89</v>
      </c>
      <c r="C26" s="1" t="s">
        <v>8</v>
      </c>
      <c r="E26" s="17">
        <v>0</v>
      </c>
      <c r="F26" s="17">
        <v>0.95</v>
      </c>
      <c r="G26" s="17">
        <v>0.6</v>
      </c>
      <c r="I26" s="12"/>
      <c r="K26" s="13"/>
      <c r="L26" s="22" t="str">
        <f>E5</f>
        <v>"off"</v>
      </c>
      <c r="M26" s="22">
        <f>SUMPRODUCT(B7:B28,E7:E28)</f>
        <v>1</v>
      </c>
      <c r="N26" s="21" t="s">
        <v>8</v>
      </c>
      <c r="O26" s="23">
        <f t="shared" ref="O26:O28" si="0">$M$31/M26</f>
        <v>1225.5</v>
      </c>
      <c r="P26" s="21" t="s">
        <v>23</v>
      </c>
      <c r="Q26" s="12"/>
    </row>
    <row r="27" customHeight="1" spans="1:17">
      <c r="A27" s="15" t="s">
        <v>24</v>
      </c>
      <c r="B27" s="19">
        <v>100</v>
      </c>
      <c r="C27" s="1" t="s">
        <v>8</v>
      </c>
      <c r="E27" s="17">
        <v>0</v>
      </c>
      <c r="F27" s="17">
        <v>0.03</v>
      </c>
      <c r="G27" s="17">
        <v>0.25</v>
      </c>
      <c r="I27" s="12"/>
      <c r="K27" s="13"/>
      <c r="L27" s="22" t="str">
        <f>F5</f>
        <v>"sensing"</v>
      </c>
      <c r="M27" s="22">
        <f>SUMPRODUCT(B7:B28,F7:F28)</f>
        <v>109.06</v>
      </c>
      <c r="N27" s="21" t="s">
        <v>8</v>
      </c>
      <c r="O27" s="23">
        <f t="shared" si="0"/>
        <v>11.2369337979094</v>
      </c>
      <c r="P27" s="21" t="s">
        <v>23</v>
      </c>
      <c r="Q27" s="12"/>
    </row>
    <row r="28" customHeight="1" spans="1:17">
      <c r="A28" s="15" t="s">
        <v>25</v>
      </c>
      <c r="B28" s="19">
        <v>90</v>
      </c>
      <c r="C28" s="1" t="s">
        <v>8</v>
      </c>
      <c r="E28" s="17">
        <v>0</v>
      </c>
      <c r="F28" s="17">
        <v>0.02</v>
      </c>
      <c r="G28" s="17">
        <v>0.15</v>
      </c>
      <c r="I28" s="12"/>
      <c r="K28" s="13"/>
      <c r="L28" s="22" t="str">
        <f>G5</f>
        <v>"interactive"</v>
      </c>
      <c r="M28" s="22">
        <f>SUMPRODUCT(B7:B28,G7:G28)</f>
        <v>183.26</v>
      </c>
      <c r="N28" s="21" t="s">
        <v>8</v>
      </c>
      <c r="O28" s="23">
        <f t="shared" si="0"/>
        <v>6.68722034268253</v>
      </c>
      <c r="P28" s="21" t="s">
        <v>23</v>
      </c>
      <c r="Q28" s="12"/>
    </row>
    <row r="29" customHeight="1" spans="1:17">
      <c r="A29" s="13"/>
      <c r="I29" s="12"/>
      <c r="K29" s="13"/>
      <c r="Q29" s="12"/>
    </row>
    <row r="30" customHeight="1" spans="1:17">
      <c r="A30" s="10"/>
      <c r="E30" s="24">
        <v>18</v>
      </c>
      <c r="F30" s="24">
        <v>5</v>
      </c>
      <c r="G30" s="24">
        <v>1</v>
      </c>
      <c r="H30" s="1" t="s">
        <v>26</v>
      </c>
      <c r="I30" s="12"/>
      <c r="K30" s="13"/>
      <c r="L30" s="1" t="s">
        <v>27</v>
      </c>
      <c r="Q30" s="12"/>
    </row>
    <row r="31" customHeight="1" spans="1:17">
      <c r="A31" s="10" t="s">
        <v>28</v>
      </c>
      <c r="I31" s="12"/>
      <c r="K31" s="13"/>
      <c r="M31" s="2">
        <f>B32*B33*B34</f>
        <v>1225.5</v>
      </c>
      <c r="N31" s="1" t="s">
        <v>29</v>
      </c>
      <c r="Q31" s="12"/>
    </row>
    <row r="32" customHeight="1" spans="1:17">
      <c r="A32" s="15" t="s">
        <v>30</v>
      </c>
      <c r="B32" s="19">
        <v>430</v>
      </c>
      <c r="C32" s="1" t="s">
        <v>31</v>
      </c>
      <c r="I32" s="12"/>
      <c r="K32" s="13"/>
      <c r="Q32" s="12"/>
    </row>
    <row r="33" customHeight="1" spans="1:17">
      <c r="A33" s="15" t="s">
        <v>32</v>
      </c>
      <c r="B33" s="19">
        <v>3</v>
      </c>
      <c r="C33" s="1" t="s">
        <v>33</v>
      </c>
      <c r="I33" s="12"/>
      <c r="K33" s="13"/>
      <c r="L33" s="25" t="s">
        <v>34</v>
      </c>
      <c r="M33" s="26">
        <f>M31/(E30*M26+F30*M27+G30*M28)</f>
        <v>1.641529147021</v>
      </c>
      <c r="N33" s="25" t="s">
        <v>35</v>
      </c>
      <c r="Q33" s="12"/>
    </row>
    <row r="34" customHeight="1" spans="1:17">
      <c r="A34" s="15" t="s">
        <v>36</v>
      </c>
      <c r="B34" s="17">
        <v>0.95</v>
      </c>
      <c r="I34" s="12"/>
      <c r="K34" s="13"/>
      <c r="L34" s="25" t="s">
        <v>37</v>
      </c>
      <c r="M34" s="26">
        <f>M33*24</f>
        <v>39.3966995285041</v>
      </c>
      <c r="N34" s="25" t="s">
        <v>23</v>
      </c>
      <c r="Q34" s="12"/>
    </row>
    <row r="35" customHeight="1" spans="1:17">
      <c r="A35" s="27"/>
      <c r="B35" s="28"/>
      <c r="C35" s="28"/>
      <c r="D35" s="28"/>
      <c r="E35" s="28"/>
      <c r="F35" s="28"/>
      <c r="G35" s="28"/>
      <c r="H35" s="28"/>
      <c r="I35" s="29"/>
      <c r="K35" s="27"/>
      <c r="L35" s="28"/>
      <c r="M35" s="28"/>
      <c r="N35" s="28"/>
      <c r="O35" s="28"/>
      <c r="P35" s="28"/>
      <c r="Q35" s="29"/>
    </row>
    <row r="38" customHeight="1" spans="1:17">
      <c r="A38" s="11" t="s">
        <v>38</v>
      </c>
    </row>
    <row r="39" customHeight="1" spans="1:17">
      <c r="A39" s="30"/>
      <c r="B39" s="30"/>
      <c r="C39" s="30"/>
      <c r="D39" s="30"/>
      <c r="E39" s="30"/>
      <c r="F39" s="30"/>
      <c r="G39" s="30"/>
      <c r="H39" s="30"/>
      <c r="I39" s="30"/>
      <c r="J39" s="30"/>
      <c r="K39" s="30"/>
      <c r="L39" s="30"/>
      <c r="M39" s="30"/>
      <c r="N39" s="30"/>
      <c r="O39" s="30"/>
      <c r="P39" s="30"/>
      <c r="Q39" s="30"/>
    </row>
    <row r="40" s="6" customFormat="1" ht="130" customHeight="1" spans="1:17">
      <c r="A40" s="31" t="s">
        <v>39</v>
      </c>
      <c r="B40" s="31"/>
      <c r="C40" s="31"/>
      <c r="D40" s="31"/>
      <c r="E40" s="31"/>
      <c r="F40" s="31"/>
      <c r="G40" s="31"/>
      <c r="H40" s="31"/>
      <c r="I40" s="31"/>
    </row>
  </sheetData>
  <mergeCells count="2">
    <mergeCell ref="A39:Q39"/>
    <mergeCell ref="A40:I40"/>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50:W118"/>
  <sheetViews>
    <sheetView workbookViewId="0">
      <selection activeCell="A1" sqref="A1"/>
    </sheetView>
  </sheetViews>
  <sheetFormatPr defaultColWidth="12.6272727272727" defaultRowHeight="15.75" customHeight="1"/>
  <sheetData>
    <row r="50" customHeight="1" spans="1:23">
      <c r="A50" s="1" t="s">
        <v>40</v>
      </c>
    </row>
    <row r="52" customHeight="1" spans="1:23">
      <c r="A52" s="2" t="str">
        <f>'System Parameters'!A3</f>
        <v>System Parameters (defined by hardware)</v>
      </c>
      <c r="B52" s="2">
        <f>'System Parameters'!B3</f>
        <v>0</v>
      </c>
      <c r="C52" s="2">
        <f>'System Parameters'!C3</f>
        <v>0</v>
      </c>
      <c r="D52" s="2">
        <f>'System Parameters'!D3</f>
        <v>0</v>
      </c>
      <c r="T52" s="2" t="str">
        <f>'System Parameters'!E3</f>
        <v>Profiles (usage of each component mode - defined by software and usage)</v>
      </c>
      <c r="U52" s="2">
        <f>'System Parameters'!F3</f>
        <v>0</v>
      </c>
      <c r="V52" s="2">
        <f>'System Parameters'!G3</f>
        <v>0</v>
      </c>
      <c r="W52" s="2">
        <f>'System Parameters'!H3</f>
        <v>0</v>
      </c>
    </row>
    <row r="53" customHeight="1" spans="1:23">
      <c r="A53" s="2">
        <f>'System Parameters'!A4</f>
        <v>0</v>
      </c>
      <c r="B53" s="2" t="str">
        <f>'System Parameters'!B4</f>
        <v>form the datasheets</v>
      </c>
      <c r="C53" s="2">
        <f>'System Parameters'!C4</f>
        <v>0</v>
      </c>
      <c r="D53" s="2">
        <f>'System Parameters'!D4</f>
        <v>0</v>
      </c>
      <c r="T53" s="2">
        <f>'System Parameters'!E4</f>
        <v>0</v>
      </c>
      <c r="U53" s="2">
        <f>'System Parameters'!F4</f>
        <v>0</v>
      </c>
      <c r="V53" s="2">
        <f>'System Parameters'!G4</f>
        <v>0</v>
      </c>
      <c r="W53" s="2">
        <f>'System Parameters'!H4</f>
        <v>0</v>
      </c>
    </row>
    <row r="54" customHeight="1" spans="1:23">
      <c r="A54" s="2">
        <f>'System Parameters'!A5</f>
        <v>0</v>
      </c>
      <c r="B54" s="2">
        <f>'System Parameters'!B5</f>
        <v>0</v>
      </c>
      <c r="C54" s="2">
        <f>'System Parameters'!C5</f>
        <v>0</v>
      </c>
      <c r="D54" s="2">
        <f>'System Parameters'!D5</f>
        <v>0</v>
      </c>
      <c r="T54" s="2" t="str">
        <f>'System Parameters'!E5</f>
        <v>"off"</v>
      </c>
      <c r="U54" s="2" t="str">
        <f>'System Parameters'!F5</f>
        <v>"sensing"</v>
      </c>
      <c r="V54" s="2" t="str">
        <f>'System Parameters'!G5</f>
        <v>"interactive"</v>
      </c>
      <c r="W54" s="2">
        <f>'System Parameters'!H5</f>
        <v>0</v>
      </c>
    </row>
    <row r="55" customHeight="1" spans="1:23">
      <c r="A55" s="2" t="str">
        <f>'System Parameters'!A6</f>
        <v>Processor</v>
      </c>
      <c r="B55" s="2">
        <f>'System Parameters'!B6</f>
        <v>0</v>
      </c>
      <c r="C55" s="2">
        <f>'System Parameters'!C6</f>
        <v>0</v>
      </c>
      <c r="D55" s="2">
        <f>'System Parameters'!D6</f>
        <v>0</v>
      </c>
      <c r="T55" s="2">
        <f>'System Parameters'!E6</f>
        <v>0</v>
      </c>
      <c r="U55" s="2">
        <f>'System Parameters'!F6</f>
        <v>0</v>
      </c>
      <c r="V55" s="2">
        <f>'System Parameters'!G6</f>
        <v>0</v>
      </c>
      <c r="W55" s="2">
        <f>'System Parameters'!H6</f>
        <v>0</v>
      </c>
    </row>
    <row r="56" customHeight="1" spans="1:23">
      <c r="A56" s="2" t="str">
        <f>'System Parameters'!A7</f>
        <v>Active</v>
      </c>
      <c r="B56" s="3">
        <f>'System Parameters'!B7</f>
        <v>90.9</v>
      </c>
      <c r="C56" s="2" t="str">
        <f>'System Parameters'!C7</f>
        <v>mW</v>
      </c>
      <c r="D56" s="2">
        <f>$B56*0.9</f>
        <v>81.81</v>
      </c>
      <c r="E56" s="3">
        <f t="shared" ref="E56:O56" si="0">$B56</f>
        <v>90.9</v>
      </c>
      <c r="F56" s="3">
        <f t="shared" si="0"/>
        <v>90.9</v>
      </c>
      <c r="G56" s="3">
        <f t="shared" si="0"/>
        <v>90.9</v>
      </c>
      <c r="H56" s="3">
        <f t="shared" si="0"/>
        <v>90.9</v>
      </c>
      <c r="I56" s="3">
        <f t="shared" si="0"/>
        <v>90.9</v>
      </c>
      <c r="J56" s="3">
        <f t="shared" si="0"/>
        <v>90.9</v>
      </c>
      <c r="K56" s="3">
        <f t="shared" si="0"/>
        <v>90.9</v>
      </c>
      <c r="L56" s="3">
        <f t="shared" si="0"/>
        <v>90.9</v>
      </c>
      <c r="M56" s="3">
        <f t="shared" si="0"/>
        <v>90.9</v>
      </c>
      <c r="N56" s="3">
        <f t="shared" si="0"/>
        <v>90.9</v>
      </c>
      <c r="O56" s="3">
        <f t="shared" si="0"/>
        <v>90.9</v>
      </c>
      <c r="T56" s="4">
        <f>'System Parameters'!E7</f>
        <v>0</v>
      </c>
      <c r="U56" s="4">
        <f>'System Parameters'!F7</f>
        <v>0.05</v>
      </c>
      <c r="V56" s="4">
        <f>'System Parameters'!G7</f>
        <v>0.7</v>
      </c>
      <c r="W56" s="2">
        <f>'System Parameters'!H7</f>
        <v>0</v>
      </c>
    </row>
    <row r="57" customHeight="1" spans="1:23">
      <c r="A57" s="2" t="str">
        <f>'System Parameters'!A8</f>
        <v>Idle</v>
      </c>
      <c r="B57" s="3">
        <f>'System Parameters'!B8</f>
        <v>89.1</v>
      </c>
      <c r="C57" s="2" t="str">
        <f>'System Parameters'!C8</f>
        <v>mW</v>
      </c>
      <c r="D57" s="3">
        <f t="shared" ref="D57:D76" si="1">$B57</f>
        <v>89.1</v>
      </c>
      <c r="E57" s="2">
        <f>$B57*0.9</f>
        <v>80.19</v>
      </c>
      <c r="F57" s="3">
        <f t="shared" ref="F57:O57" si="2">$B57</f>
        <v>89.1</v>
      </c>
      <c r="G57" s="3">
        <f t="shared" si="2"/>
        <v>89.1</v>
      </c>
      <c r="H57" s="3">
        <f t="shared" si="2"/>
        <v>89.1</v>
      </c>
      <c r="I57" s="3">
        <f t="shared" si="2"/>
        <v>89.1</v>
      </c>
      <c r="J57" s="3">
        <f t="shared" si="2"/>
        <v>89.1</v>
      </c>
      <c r="K57" s="3">
        <f t="shared" si="2"/>
        <v>89.1</v>
      </c>
      <c r="L57" s="3">
        <f t="shared" si="2"/>
        <v>89.1</v>
      </c>
      <c r="M57" s="3">
        <f t="shared" si="2"/>
        <v>89.1</v>
      </c>
      <c r="N57" s="3">
        <f t="shared" si="2"/>
        <v>89.1</v>
      </c>
      <c r="O57" s="3">
        <f t="shared" si="2"/>
        <v>89.1</v>
      </c>
      <c r="T57" s="4">
        <f>'System Parameters'!E8</f>
        <v>0</v>
      </c>
      <c r="U57" s="4">
        <f>'System Parameters'!F8</f>
        <v>0.15</v>
      </c>
      <c r="V57" s="4">
        <f>'System Parameters'!G8</f>
        <v>0.3</v>
      </c>
      <c r="W57" s="2">
        <f>'System Parameters'!H8</f>
        <v>0</v>
      </c>
    </row>
    <row r="58" customHeight="1" spans="1:23">
      <c r="A58" s="2" t="str">
        <f>'System Parameters'!A9</f>
        <v>Sleep</v>
      </c>
      <c r="B58" s="3">
        <f>'System Parameters'!B9</f>
        <v>1</v>
      </c>
      <c r="C58" s="2" t="str">
        <f>'System Parameters'!C9</f>
        <v>mW</v>
      </c>
      <c r="D58" s="3">
        <f t="shared" si="1"/>
        <v>1</v>
      </c>
      <c r="E58" s="3">
        <f t="shared" ref="E58:E76" si="3">$B58</f>
        <v>1</v>
      </c>
      <c r="F58" s="2">
        <f>$B58*0.9</f>
        <v>0.9</v>
      </c>
      <c r="G58" s="3">
        <f t="shared" ref="G58:O58" si="4">$B58</f>
        <v>1</v>
      </c>
      <c r="H58" s="3">
        <f t="shared" si="4"/>
        <v>1</v>
      </c>
      <c r="I58" s="3">
        <f t="shared" si="4"/>
        <v>1</v>
      </c>
      <c r="J58" s="3">
        <f t="shared" si="4"/>
        <v>1</v>
      </c>
      <c r="K58" s="3">
        <f t="shared" si="4"/>
        <v>1</v>
      </c>
      <c r="L58" s="3">
        <f t="shared" si="4"/>
        <v>1</v>
      </c>
      <c r="M58" s="3">
        <f t="shared" si="4"/>
        <v>1</v>
      </c>
      <c r="N58" s="3">
        <f t="shared" si="4"/>
        <v>1</v>
      </c>
      <c r="O58" s="3">
        <f t="shared" si="4"/>
        <v>1</v>
      </c>
      <c r="T58" s="4">
        <f>'System Parameters'!E9</f>
        <v>1</v>
      </c>
      <c r="U58" s="4">
        <f>'System Parameters'!F9</f>
        <v>0.8</v>
      </c>
      <c r="V58" s="4">
        <f>'System Parameters'!G9</f>
        <v>0</v>
      </c>
      <c r="W58" s="2">
        <f>'System Parameters'!H9</f>
        <v>0</v>
      </c>
    </row>
    <row r="59" customHeight="1" spans="1:23">
      <c r="A59" s="2">
        <f>'System Parameters'!A10</f>
        <v>0</v>
      </c>
      <c r="B59" s="2">
        <f>'System Parameters'!B10</f>
        <v>0</v>
      </c>
      <c r="C59" s="2">
        <f>'System Parameters'!C10</f>
        <v>0</v>
      </c>
      <c r="D59" s="2">
        <f t="shared" si="1"/>
        <v>0</v>
      </c>
      <c r="E59" s="2">
        <f t="shared" si="3"/>
        <v>0</v>
      </c>
      <c r="F59" s="2">
        <f t="shared" ref="F59:O59" si="5">$B59</f>
        <v>0</v>
      </c>
      <c r="G59" s="2">
        <f t="shared" si="5"/>
        <v>0</v>
      </c>
      <c r="H59" s="2">
        <f t="shared" si="5"/>
        <v>0</v>
      </c>
      <c r="I59" s="2">
        <f t="shared" si="5"/>
        <v>0</v>
      </c>
      <c r="J59" s="2">
        <f t="shared" si="5"/>
        <v>0</v>
      </c>
      <c r="K59" s="2">
        <f t="shared" si="5"/>
        <v>0</v>
      </c>
      <c r="L59" s="2">
        <f t="shared" si="5"/>
        <v>0</v>
      </c>
      <c r="M59" s="2">
        <f t="shared" si="5"/>
        <v>0</v>
      </c>
      <c r="N59" s="2">
        <f t="shared" si="5"/>
        <v>0</v>
      </c>
      <c r="O59" s="2">
        <f t="shared" si="5"/>
        <v>0</v>
      </c>
      <c r="T59" s="2">
        <f>'System Parameters'!E10</f>
        <v>0</v>
      </c>
      <c r="U59" s="2">
        <f>'System Parameters'!F10</f>
        <v>0</v>
      </c>
      <c r="V59" s="2">
        <f>'System Parameters'!G10</f>
        <v>0</v>
      </c>
      <c r="W59" s="2">
        <f>'System Parameters'!H10</f>
        <v>0</v>
      </c>
    </row>
    <row r="60" customHeight="1" spans="1:23">
      <c r="A60" s="2" t="str">
        <f>'System Parameters'!A11</f>
        <v>LED (N/A)</v>
      </c>
      <c r="B60" s="2">
        <f>'System Parameters'!B11</f>
        <v>0</v>
      </c>
      <c r="C60" s="2">
        <f>'System Parameters'!C11</f>
        <v>0</v>
      </c>
      <c r="D60" s="2">
        <f t="shared" si="1"/>
        <v>0</v>
      </c>
      <c r="E60" s="2">
        <f t="shared" si="3"/>
        <v>0</v>
      </c>
      <c r="F60" s="2">
        <f t="shared" ref="F60:O60" si="6">$B60</f>
        <v>0</v>
      </c>
      <c r="G60" s="2">
        <f t="shared" si="6"/>
        <v>0</v>
      </c>
      <c r="H60" s="2">
        <f t="shared" si="6"/>
        <v>0</v>
      </c>
      <c r="I60" s="2">
        <f t="shared" si="6"/>
        <v>0</v>
      </c>
      <c r="J60" s="2">
        <f t="shared" si="6"/>
        <v>0</v>
      </c>
      <c r="K60" s="2">
        <f t="shared" si="6"/>
        <v>0</v>
      </c>
      <c r="L60" s="2">
        <f t="shared" si="6"/>
        <v>0</v>
      </c>
      <c r="M60" s="2">
        <f t="shared" si="6"/>
        <v>0</v>
      </c>
      <c r="N60" s="2">
        <f t="shared" si="6"/>
        <v>0</v>
      </c>
      <c r="O60" s="2">
        <f t="shared" si="6"/>
        <v>0</v>
      </c>
      <c r="T60" s="2">
        <f>'System Parameters'!E11</f>
        <v>0</v>
      </c>
      <c r="U60" s="2">
        <f>'System Parameters'!F11</f>
        <v>0</v>
      </c>
      <c r="V60" s="2">
        <f>'System Parameters'!G11</f>
        <v>0</v>
      </c>
      <c r="W60" s="2">
        <f>'System Parameters'!H11</f>
        <v>0</v>
      </c>
    </row>
    <row r="61" customHeight="1" spans="1:23">
      <c r="A61" s="2" t="str">
        <f>'System Parameters'!A12</f>
        <v>On</v>
      </c>
      <c r="B61" s="3">
        <f>'System Parameters'!B12</f>
        <v>0</v>
      </c>
      <c r="C61" s="2" t="str">
        <f>'System Parameters'!C12</f>
        <v>mW</v>
      </c>
      <c r="D61" s="3">
        <f t="shared" si="1"/>
        <v>0</v>
      </c>
      <c r="E61" s="3">
        <f t="shared" si="3"/>
        <v>0</v>
      </c>
      <c r="F61" s="3">
        <f t="shared" ref="F61:F76" si="7">$B61</f>
        <v>0</v>
      </c>
      <c r="G61" s="2">
        <f>$B61*0.9</f>
        <v>0</v>
      </c>
      <c r="H61" s="3">
        <f t="shared" ref="H61:O61" si="8">$B61</f>
        <v>0</v>
      </c>
      <c r="I61" s="3">
        <f t="shared" si="8"/>
        <v>0</v>
      </c>
      <c r="J61" s="3">
        <f t="shared" si="8"/>
        <v>0</v>
      </c>
      <c r="K61" s="3">
        <f t="shared" si="8"/>
        <v>0</v>
      </c>
      <c r="L61" s="3">
        <f t="shared" si="8"/>
        <v>0</v>
      </c>
      <c r="M61" s="3">
        <f t="shared" si="8"/>
        <v>0</v>
      </c>
      <c r="N61" s="3">
        <f t="shared" si="8"/>
        <v>0</v>
      </c>
      <c r="O61" s="3">
        <f t="shared" si="8"/>
        <v>0</v>
      </c>
      <c r="T61" s="4">
        <f>'System Parameters'!E12</f>
        <v>0</v>
      </c>
      <c r="U61" s="4">
        <f>'System Parameters'!F12</f>
        <v>0</v>
      </c>
      <c r="V61" s="4">
        <f>'System Parameters'!G12</f>
        <v>0</v>
      </c>
      <c r="W61" s="2">
        <f>'System Parameters'!H12</f>
        <v>0</v>
      </c>
    </row>
    <row r="62" customHeight="1" spans="1:23">
      <c r="A62" s="2">
        <f>'System Parameters'!A13</f>
        <v>0</v>
      </c>
      <c r="B62" s="3">
        <f>'System Parameters'!B13</f>
        <v>0</v>
      </c>
      <c r="C62" s="2">
        <f>'System Parameters'!C13</f>
        <v>0</v>
      </c>
      <c r="D62" s="3">
        <f t="shared" si="1"/>
        <v>0</v>
      </c>
      <c r="E62" s="3">
        <f t="shared" si="3"/>
        <v>0</v>
      </c>
      <c r="F62" s="3">
        <f t="shared" si="7"/>
        <v>0</v>
      </c>
      <c r="G62" s="3">
        <f t="shared" ref="G62:O62" si="9">$B62</f>
        <v>0</v>
      </c>
      <c r="H62" s="3">
        <f t="shared" si="9"/>
        <v>0</v>
      </c>
      <c r="I62" s="3">
        <f t="shared" si="9"/>
        <v>0</v>
      </c>
      <c r="J62" s="3">
        <f t="shared" si="9"/>
        <v>0</v>
      </c>
      <c r="K62" s="3">
        <f t="shared" si="9"/>
        <v>0</v>
      </c>
      <c r="L62" s="3">
        <f t="shared" si="9"/>
        <v>0</v>
      </c>
      <c r="M62" s="3">
        <f t="shared" si="9"/>
        <v>0</v>
      </c>
      <c r="N62" s="3">
        <f t="shared" si="9"/>
        <v>0</v>
      </c>
      <c r="O62" s="3">
        <f t="shared" si="9"/>
        <v>0</v>
      </c>
      <c r="T62" s="2">
        <f>'System Parameters'!E13</f>
        <v>0</v>
      </c>
      <c r="U62" s="2">
        <f>'System Parameters'!F13</f>
        <v>0</v>
      </c>
      <c r="V62" s="2">
        <f>'System Parameters'!G13</f>
        <v>0</v>
      </c>
      <c r="W62" s="2">
        <f>'System Parameters'!H13</f>
        <v>0</v>
      </c>
    </row>
    <row r="63" customHeight="1" spans="1:23">
      <c r="A63" s="2">
        <f>'System Parameters'!A14</f>
        <v>0</v>
      </c>
      <c r="B63" s="3">
        <f>'System Parameters'!B14</f>
        <v>0</v>
      </c>
      <c r="C63" s="2">
        <f>'System Parameters'!C14</f>
        <v>0</v>
      </c>
      <c r="D63" s="3">
        <f t="shared" si="1"/>
        <v>0</v>
      </c>
      <c r="E63" s="3">
        <f t="shared" si="3"/>
        <v>0</v>
      </c>
      <c r="F63" s="3">
        <f t="shared" si="7"/>
        <v>0</v>
      </c>
      <c r="G63" s="3">
        <f t="shared" ref="G63:O63" si="10">$B63</f>
        <v>0</v>
      </c>
      <c r="H63" s="3">
        <f t="shared" si="10"/>
        <v>0</v>
      </c>
      <c r="I63" s="3">
        <f t="shared" si="10"/>
        <v>0</v>
      </c>
      <c r="J63" s="3">
        <f t="shared" si="10"/>
        <v>0</v>
      </c>
      <c r="K63" s="3">
        <f t="shared" si="10"/>
        <v>0</v>
      </c>
      <c r="L63" s="3">
        <f t="shared" si="10"/>
        <v>0</v>
      </c>
      <c r="M63" s="3">
        <f t="shared" si="10"/>
        <v>0</v>
      </c>
      <c r="N63" s="3">
        <f t="shared" si="10"/>
        <v>0</v>
      </c>
      <c r="O63" s="3">
        <f t="shared" si="10"/>
        <v>0</v>
      </c>
      <c r="T63" s="2">
        <f>'System Parameters'!E14</f>
        <v>0</v>
      </c>
      <c r="U63" s="2">
        <f>'System Parameters'!F14</f>
        <v>0</v>
      </c>
      <c r="V63" s="2">
        <f>'System Parameters'!G14</f>
        <v>0</v>
      </c>
      <c r="W63" s="2">
        <f>'System Parameters'!H14</f>
        <v>0</v>
      </c>
    </row>
    <row r="64" customHeight="1" spans="1:23">
      <c r="A64" s="2" t="str">
        <f>'System Parameters'!A15</f>
        <v>Sensor (ADXL345)</v>
      </c>
      <c r="B64" s="3">
        <f>'System Parameters'!B15</f>
        <v>0</v>
      </c>
      <c r="C64" s="2">
        <f>'System Parameters'!C15</f>
        <v>0</v>
      </c>
      <c r="D64" s="3">
        <f t="shared" si="1"/>
        <v>0</v>
      </c>
      <c r="E64" s="3">
        <f t="shared" si="3"/>
        <v>0</v>
      </c>
      <c r="F64" s="3">
        <f t="shared" si="7"/>
        <v>0</v>
      </c>
      <c r="G64" s="3">
        <f t="shared" ref="G64:O64" si="11">$B64</f>
        <v>0</v>
      </c>
      <c r="H64" s="3">
        <f t="shared" si="11"/>
        <v>0</v>
      </c>
      <c r="I64" s="3">
        <f t="shared" si="11"/>
        <v>0</v>
      </c>
      <c r="J64" s="3">
        <f t="shared" si="11"/>
        <v>0</v>
      </c>
      <c r="K64" s="3">
        <f t="shared" si="11"/>
        <v>0</v>
      </c>
      <c r="L64" s="3">
        <f t="shared" si="11"/>
        <v>0</v>
      </c>
      <c r="M64" s="3">
        <f t="shared" si="11"/>
        <v>0</v>
      </c>
      <c r="N64" s="3">
        <f t="shared" si="11"/>
        <v>0</v>
      </c>
      <c r="O64" s="3">
        <f t="shared" si="11"/>
        <v>0</v>
      </c>
      <c r="T64" s="2">
        <f>'System Parameters'!E15</f>
        <v>0</v>
      </c>
      <c r="U64" s="2">
        <f>'System Parameters'!F15</f>
        <v>0</v>
      </c>
      <c r="V64" s="2">
        <f>'System Parameters'!G15</f>
        <v>0</v>
      </c>
      <c r="W64" s="2">
        <f>'System Parameters'!H15</f>
        <v>0</v>
      </c>
    </row>
    <row r="65" customHeight="1" spans="1:23">
      <c r="A65" s="2" t="str">
        <f>'System Parameters'!A16</f>
        <v>On</v>
      </c>
      <c r="B65" s="3">
        <f>'System Parameters'!B16</f>
        <v>1</v>
      </c>
      <c r="C65" s="2" t="str">
        <f>'System Parameters'!C16</f>
        <v>mW</v>
      </c>
      <c r="D65" s="3">
        <f t="shared" si="1"/>
        <v>1</v>
      </c>
      <c r="E65" s="3">
        <f t="shared" si="3"/>
        <v>1</v>
      </c>
      <c r="F65" s="3">
        <f t="shared" si="7"/>
        <v>1</v>
      </c>
      <c r="G65" s="3">
        <f t="shared" ref="G65:G76" si="12">$B65</f>
        <v>1</v>
      </c>
      <c r="H65" s="2">
        <f>$B65*0.9</f>
        <v>0.9</v>
      </c>
      <c r="I65" s="3">
        <f t="shared" ref="I65:O65" si="13">$B65</f>
        <v>1</v>
      </c>
      <c r="J65" s="3">
        <f t="shared" si="13"/>
        <v>1</v>
      </c>
      <c r="K65" s="3">
        <f t="shared" si="13"/>
        <v>1</v>
      </c>
      <c r="L65" s="3">
        <f t="shared" si="13"/>
        <v>1</v>
      </c>
      <c r="M65" s="3">
        <f t="shared" si="13"/>
        <v>1</v>
      </c>
      <c r="N65" s="3">
        <f t="shared" si="13"/>
        <v>1</v>
      </c>
      <c r="O65" s="3">
        <f t="shared" si="13"/>
        <v>1</v>
      </c>
      <c r="T65" s="4">
        <f>'System Parameters'!E16</f>
        <v>0</v>
      </c>
      <c r="U65" s="4">
        <f>'System Parameters'!F16</f>
        <v>0.3</v>
      </c>
      <c r="V65" s="4">
        <f>'System Parameters'!G16</f>
        <v>1</v>
      </c>
      <c r="W65" s="2">
        <f>'System Parameters'!H16</f>
        <v>0</v>
      </c>
    </row>
    <row r="66" customHeight="1" spans="1:23">
      <c r="A66" s="2" t="str">
        <f>'System Parameters'!A17</f>
        <v>Idle</v>
      </c>
      <c r="B66" s="3">
        <f>'System Parameters'!B17</f>
        <v>1</v>
      </c>
      <c r="C66" s="2" t="str">
        <f>'System Parameters'!C17</f>
        <v>mW</v>
      </c>
      <c r="D66" s="3">
        <f t="shared" si="1"/>
        <v>1</v>
      </c>
      <c r="E66" s="3">
        <f t="shared" si="3"/>
        <v>1</v>
      </c>
      <c r="F66" s="3">
        <f t="shared" si="7"/>
        <v>1</v>
      </c>
      <c r="G66" s="3">
        <f t="shared" si="12"/>
        <v>1</v>
      </c>
      <c r="H66" s="3">
        <f t="shared" ref="H66:H76" si="14">$B66</f>
        <v>1</v>
      </c>
      <c r="I66" s="2">
        <f>$B66*0.9</f>
        <v>0.9</v>
      </c>
      <c r="J66" s="3">
        <f t="shared" ref="J66:O66" si="15">$B66</f>
        <v>1</v>
      </c>
      <c r="K66" s="3">
        <f t="shared" si="15"/>
        <v>1</v>
      </c>
      <c r="L66" s="3">
        <f t="shared" si="15"/>
        <v>1</v>
      </c>
      <c r="M66" s="3">
        <f t="shared" si="15"/>
        <v>1</v>
      </c>
      <c r="N66" s="3">
        <f t="shared" si="15"/>
        <v>1</v>
      </c>
      <c r="O66" s="3">
        <f t="shared" si="15"/>
        <v>1</v>
      </c>
      <c r="T66" s="4">
        <f>'System Parameters'!E17</f>
        <v>0</v>
      </c>
      <c r="U66" s="4">
        <f>'System Parameters'!F17</f>
        <v>0.7</v>
      </c>
      <c r="V66" s="4">
        <f>'System Parameters'!G17</f>
        <v>0</v>
      </c>
      <c r="W66" s="2">
        <f>'System Parameters'!H17</f>
        <v>0</v>
      </c>
    </row>
    <row r="67" customHeight="1" spans="1:23">
      <c r="A67" s="2" t="str">
        <f>'System Parameters'!A18</f>
        <v>Off</v>
      </c>
      <c r="B67" s="3">
        <f>'System Parameters'!B18</f>
        <v>0</v>
      </c>
      <c r="C67" s="2" t="str">
        <f>'System Parameters'!C18</f>
        <v>mW</v>
      </c>
      <c r="D67" s="3">
        <f t="shared" si="1"/>
        <v>0</v>
      </c>
      <c r="E67" s="3">
        <f t="shared" si="3"/>
        <v>0</v>
      </c>
      <c r="F67" s="3">
        <f t="shared" si="7"/>
        <v>0</v>
      </c>
      <c r="G67" s="3">
        <f t="shared" si="12"/>
        <v>0</v>
      </c>
      <c r="H67" s="3">
        <f t="shared" si="14"/>
        <v>0</v>
      </c>
      <c r="I67" s="3">
        <f t="shared" ref="I67:I76" si="16">$B67</f>
        <v>0</v>
      </c>
      <c r="J67" s="2">
        <f>$B67*0.9</f>
        <v>0</v>
      </c>
      <c r="K67" s="3">
        <f t="shared" ref="K67:O67" si="17">$B67</f>
        <v>0</v>
      </c>
      <c r="L67" s="3">
        <f t="shared" si="17"/>
        <v>0</v>
      </c>
      <c r="M67" s="3">
        <f t="shared" si="17"/>
        <v>0</v>
      </c>
      <c r="N67" s="3">
        <f t="shared" si="17"/>
        <v>0</v>
      </c>
      <c r="O67" s="3">
        <f t="shared" si="17"/>
        <v>0</v>
      </c>
      <c r="T67" s="4">
        <f>'System Parameters'!E18</f>
        <v>1</v>
      </c>
      <c r="U67" s="4">
        <f>'System Parameters'!F18</f>
        <v>0</v>
      </c>
      <c r="V67" s="4">
        <f>'System Parameters'!G18</f>
        <v>0</v>
      </c>
      <c r="W67" s="2">
        <f>'System Parameters'!H18</f>
        <v>0</v>
      </c>
    </row>
    <row r="68" customHeight="1" spans="1:23">
      <c r="A68" s="2">
        <f>'System Parameters'!A19</f>
        <v>0</v>
      </c>
      <c r="B68" s="3">
        <f>'System Parameters'!B19</f>
        <v>0</v>
      </c>
      <c r="C68" s="2">
        <f>'System Parameters'!C19</f>
        <v>0</v>
      </c>
      <c r="D68" s="3">
        <f t="shared" si="1"/>
        <v>0</v>
      </c>
      <c r="E68" s="3">
        <f t="shared" si="3"/>
        <v>0</v>
      </c>
      <c r="F68" s="3">
        <f t="shared" si="7"/>
        <v>0</v>
      </c>
      <c r="G68" s="3">
        <f t="shared" si="12"/>
        <v>0</v>
      </c>
      <c r="H68" s="3">
        <f t="shared" si="14"/>
        <v>0</v>
      </c>
      <c r="I68" s="3">
        <f t="shared" si="16"/>
        <v>0</v>
      </c>
      <c r="J68" s="3">
        <f t="shared" ref="J68:O68" si="18">$B68</f>
        <v>0</v>
      </c>
      <c r="K68" s="3">
        <f t="shared" si="18"/>
        <v>0</v>
      </c>
      <c r="L68" s="3">
        <f t="shared" si="18"/>
        <v>0</v>
      </c>
      <c r="M68" s="3">
        <f t="shared" si="18"/>
        <v>0</v>
      </c>
      <c r="N68" s="3">
        <f t="shared" si="18"/>
        <v>0</v>
      </c>
      <c r="O68" s="3">
        <f t="shared" si="18"/>
        <v>0</v>
      </c>
      <c r="T68" s="2">
        <f>'System Parameters'!E19</f>
        <v>0</v>
      </c>
      <c r="U68" s="2">
        <f>'System Parameters'!F19</f>
        <v>0</v>
      </c>
      <c r="V68" s="2">
        <f>'System Parameters'!G19</f>
        <v>0</v>
      </c>
      <c r="W68" s="2">
        <f>'System Parameters'!H19</f>
        <v>0</v>
      </c>
    </row>
    <row r="69" customHeight="1" spans="1:23">
      <c r="A69" s="2" t="str">
        <f>'System Parameters'!A20</f>
        <v>Display (N/A)</v>
      </c>
      <c r="B69" s="3">
        <f>'System Parameters'!B20</f>
        <v>0</v>
      </c>
      <c r="C69" s="2">
        <f>'System Parameters'!C20</f>
        <v>0</v>
      </c>
      <c r="D69" s="3">
        <f t="shared" si="1"/>
        <v>0</v>
      </c>
      <c r="E69" s="3">
        <f t="shared" si="3"/>
        <v>0</v>
      </c>
      <c r="F69" s="3">
        <f t="shared" si="7"/>
        <v>0</v>
      </c>
      <c r="G69" s="3">
        <f t="shared" si="12"/>
        <v>0</v>
      </c>
      <c r="H69" s="3">
        <f t="shared" si="14"/>
        <v>0</v>
      </c>
      <c r="I69" s="3">
        <f t="shared" si="16"/>
        <v>0</v>
      </c>
      <c r="J69" s="3">
        <f t="shared" ref="J69:O69" si="19">$B69</f>
        <v>0</v>
      </c>
      <c r="K69" s="3">
        <f t="shared" si="19"/>
        <v>0</v>
      </c>
      <c r="L69" s="3">
        <f t="shared" si="19"/>
        <v>0</v>
      </c>
      <c r="M69" s="3">
        <f t="shared" si="19"/>
        <v>0</v>
      </c>
      <c r="N69" s="3">
        <f t="shared" si="19"/>
        <v>0</v>
      </c>
      <c r="O69" s="3">
        <f t="shared" si="19"/>
        <v>0</v>
      </c>
      <c r="T69" s="2">
        <f>'System Parameters'!E20</f>
        <v>0</v>
      </c>
      <c r="U69" s="2">
        <f>'System Parameters'!F20</f>
        <v>0</v>
      </c>
      <c r="V69" s="2">
        <f>'System Parameters'!G20</f>
        <v>0</v>
      </c>
      <c r="W69" s="2">
        <f>'System Parameters'!H20</f>
        <v>0</v>
      </c>
    </row>
    <row r="70" customHeight="1" spans="1:23">
      <c r="A70" s="2" t="str">
        <f>'System Parameters'!A21</f>
        <v>On</v>
      </c>
      <c r="B70" s="3">
        <f>'System Parameters'!B21</f>
        <v>0</v>
      </c>
      <c r="C70" s="2" t="str">
        <f>'System Parameters'!C21</f>
        <v>mW</v>
      </c>
      <c r="D70" s="3">
        <f t="shared" si="1"/>
        <v>0</v>
      </c>
      <c r="E70" s="3">
        <f t="shared" si="3"/>
        <v>0</v>
      </c>
      <c r="F70" s="3">
        <f t="shared" si="7"/>
        <v>0</v>
      </c>
      <c r="G70" s="3">
        <f t="shared" si="12"/>
        <v>0</v>
      </c>
      <c r="H70" s="3">
        <f t="shared" si="14"/>
        <v>0</v>
      </c>
      <c r="I70" s="3">
        <f t="shared" si="16"/>
        <v>0</v>
      </c>
      <c r="J70" s="3">
        <f t="shared" ref="J70:J76" si="20">$B70</f>
        <v>0</v>
      </c>
      <c r="K70" s="2">
        <f>$B70*0.9</f>
        <v>0</v>
      </c>
      <c r="L70" s="3">
        <f t="shared" ref="L70:O70" si="21">$B70</f>
        <v>0</v>
      </c>
      <c r="M70" s="3">
        <f t="shared" si="21"/>
        <v>0</v>
      </c>
      <c r="N70" s="3">
        <f t="shared" si="21"/>
        <v>0</v>
      </c>
      <c r="O70" s="3">
        <f t="shared" si="21"/>
        <v>0</v>
      </c>
      <c r="T70" s="4">
        <f>'System Parameters'!E21</f>
        <v>0</v>
      </c>
      <c r="U70" s="4">
        <f>'System Parameters'!F21</f>
        <v>0</v>
      </c>
      <c r="V70" s="4">
        <f>'System Parameters'!G21</f>
        <v>0</v>
      </c>
      <c r="W70" s="2">
        <f>'System Parameters'!H21</f>
        <v>0</v>
      </c>
    </row>
    <row r="71" customHeight="1" spans="1:23">
      <c r="A71" s="2" t="str">
        <f>'System Parameters'!A22</f>
        <v>Off (leakage)</v>
      </c>
      <c r="B71" s="3">
        <f>'System Parameters'!B22</f>
        <v>0</v>
      </c>
      <c r="C71" s="2" t="str">
        <f>'System Parameters'!C22</f>
        <v>mW</v>
      </c>
      <c r="D71" s="3">
        <f t="shared" si="1"/>
        <v>0</v>
      </c>
      <c r="E71" s="3">
        <f t="shared" si="3"/>
        <v>0</v>
      </c>
      <c r="F71" s="3">
        <f t="shared" si="7"/>
        <v>0</v>
      </c>
      <c r="G71" s="3">
        <f t="shared" si="12"/>
        <v>0</v>
      </c>
      <c r="H71" s="3">
        <f t="shared" si="14"/>
        <v>0</v>
      </c>
      <c r="I71" s="3">
        <f t="shared" si="16"/>
        <v>0</v>
      </c>
      <c r="J71" s="3">
        <f t="shared" si="20"/>
        <v>0</v>
      </c>
      <c r="K71" s="3">
        <f t="shared" ref="K71:K76" si="22">$B71</f>
        <v>0</v>
      </c>
      <c r="L71" s="2">
        <f>$B71*0.9</f>
        <v>0</v>
      </c>
      <c r="M71" s="3">
        <f t="shared" ref="M71:O71" si="23">$B71</f>
        <v>0</v>
      </c>
      <c r="N71" s="3">
        <f t="shared" si="23"/>
        <v>0</v>
      </c>
      <c r="O71" s="3">
        <f t="shared" si="23"/>
        <v>0</v>
      </c>
      <c r="T71" s="4">
        <f>'System Parameters'!E22</f>
        <v>0</v>
      </c>
      <c r="U71" s="4">
        <f>'System Parameters'!F22</f>
        <v>0</v>
      </c>
      <c r="V71" s="4">
        <f>'System Parameters'!G22</f>
        <v>0</v>
      </c>
      <c r="W71" s="2">
        <f>'System Parameters'!H22</f>
        <v>0</v>
      </c>
    </row>
    <row r="72" customHeight="1" spans="1:23">
      <c r="A72" s="2">
        <f>'System Parameters'!A23</f>
        <v>0</v>
      </c>
      <c r="B72" s="2">
        <f>'System Parameters'!B23</f>
        <v>0</v>
      </c>
      <c r="C72" s="2">
        <f>'System Parameters'!C23</f>
        <v>0</v>
      </c>
      <c r="D72" s="2">
        <f t="shared" si="1"/>
        <v>0</v>
      </c>
      <c r="E72" s="2">
        <f t="shared" si="3"/>
        <v>0</v>
      </c>
      <c r="F72" s="2">
        <f t="shared" si="7"/>
        <v>0</v>
      </c>
      <c r="G72" s="2">
        <f t="shared" si="12"/>
        <v>0</v>
      </c>
      <c r="H72" s="2">
        <f t="shared" si="14"/>
        <v>0</v>
      </c>
      <c r="I72" s="2">
        <f t="shared" si="16"/>
        <v>0</v>
      </c>
      <c r="J72" s="2">
        <f t="shared" si="20"/>
        <v>0</v>
      </c>
      <c r="K72" s="2">
        <f t="shared" si="22"/>
        <v>0</v>
      </c>
      <c r="L72" s="2">
        <f t="shared" ref="L72:O72" si="24">$B72</f>
        <v>0</v>
      </c>
      <c r="M72" s="2">
        <f t="shared" si="24"/>
        <v>0</v>
      </c>
      <c r="N72" s="2">
        <f t="shared" si="24"/>
        <v>0</v>
      </c>
      <c r="O72" s="2">
        <f t="shared" si="24"/>
        <v>0</v>
      </c>
      <c r="T72" s="2">
        <f>'System Parameters'!E23</f>
        <v>0</v>
      </c>
      <c r="U72" s="2">
        <f>'System Parameters'!F23</f>
        <v>0</v>
      </c>
      <c r="V72" s="2">
        <f>'System Parameters'!G23</f>
        <v>0</v>
      </c>
      <c r="W72" s="2">
        <f>'System Parameters'!H23</f>
        <v>0</v>
      </c>
    </row>
    <row r="73" customHeight="1" spans="1:23">
      <c r="A73" s="2" t="str">
        <f>'System Parameters'!A24</f>
        <v>Radio</v>
      </c>
      <c r="B73" s="2">
        <f>'System Parameters'!B24</f>
        <v>0</v>
      </c>
      <c r="C73" s="2">
        <f>'System Parameters'!C24</f>
        <v>0</v>
      </c>
      <c r="D73" s="2">
        <f t="shared" si="1"/>
        <v>0</v>
      </c>
      <c r="E73" s="2">
        <f t="shared" si="3"/>
        <v>0</v>
      </c>
      <c r="F73" s="2">
        <f t="shared" si="7"/>
        <v>0</v>
      </c>
      <c r="G73" s="2">
        <f t="shared" si="12"/>
        <v>0</v>
      </c>
      <c r="H73" s="2">
        <f t="shared" si="14"/>
        <v>0</v>
      </c>
      <c r="I73" s="2">
        <f t="shared" si="16"/>
        <v>0</v>
      </c>
      <c r="J73" s="2">
        <f t="shared" si="20"/>
        <v>0</v>
      </c>
      <c r="K73" s="2">
        <f t="shared" si="22"/>
        <v>0</v>
      </c>
      <c r="L73" s="2">
        <f t="shared" ref="L73:O73" si="25">$B73</f>
        <v>0</v>
      </c>
      <c r="M73" s="2">
        <f t="shared" si="25"/>
        <v>0</v>
      </c>
      <c r="N73" s="2">
        <f t="shared" si="25"/>
        <v>0</v>
      </c>
      <c r="O73" s="2">
        <f t="shared" si="25"/>
        <v>0</v>
      </c>
      <c r="T73" s="2">
        <f>'System Parameters'!E24</f>
        <v>0</v>
      </c>
      <c r="U73" s="2">
        <f>'System Parameters'!F24</f>
        <v>0</v>
      </c>
      <c r="V73" s="2">
        <f>'System Parameters'!G24</f>
        <v>0</v>
      </c>
      <c r="W73" s="2">
        <f>'System Parameters'!H24</f>
        <v>0</v>
      </c>
    </row>
    <row r="74" customHeight="1" spans="1:23">
      <c r="A74" s="2" t="str">
        <f>'System Parameters'!A26</f>
        <v>Standby Power</v>
      </c>
      <c r="B74" s="3">
        <f>'System Parameters'!B26</f>
        <v>89</v>
      </c>
      <c r="C74" s="2" t="str">
        <f>'System Parameters'!C26</f>
        <v>mW</v>
      </c>
      <c r="D74" s="3">
        <f t="shared" si="1"/>
        <v>89</v>
      </c>
      <c r="E74" s="3">
        <f t="shared" si="3"/>
        <v>89</v>
      </c>
      <c r="F74" s="3">
        <f t="shared" si="7"/>
        <v>89</v>
      </c>
      <c r="G74" s="3">
        <f t="shared" si="12"/>
        <v>89</v>
      </c>
      <c r="H74" s="3">
        <f t="shared" si="14"/>
        <v>89</v>
      </c>
      <c r="I74" s="3">
        <f t="shared" si="16"/>
        <v>89</v>
      </c>
      <c r="J74" s="3">
        <f t="shared" si="20"/>
        <v>89</v>
      </c>
      <c r="K74" s="3">
        <f t="shared" si="22"/>
        <v>89</v>
      </c>
      <c r="L74" s="3">
        <f t="shared" ref="L74:L76" si="26">$B74</f>
        <v>89</v>
      </c>
      <c r="M74" s="2">
        <f>$B74*0.9</f>
        <v>80.1</v>
      </c>
      <c r="N74" s="3">
        <f t="shared" ref="N74:O74" si="27">$B74</f>
        <v>89</v>
      </c>
      <c r="O74" s="3">
        <f t="shared" si="27"/>
        <v>89</v>
      </c>
      <c r="T74" s="4">
        <f>'System Parameters'!E26</f>
        <v>0</v>
      </c>
      <c r="U74" s="4">
        <f>'System Parameters'!F26</f>
        <v>0.95</v>
      </c>
      <c r="V74" s="4">
        <f>'System Parameters'!G26</f>
        <v>0.6</v>
      </c>
      <c r="W74" s="2">
        <f>'System Parameters'!H26</f>
        <v>0</v>
      </c>
    </row>
    <row r="75" customHeight="1" spans="1:23">
      <c r="A75" s="2" t="str">
        <f>'System Parameters'!A27</f>
        <v>TX Power</v>
      </c>
      <c r="B75" s="3">
        <f>'System Parameters'!B27</f>
        <v>100</v>
      </c>
      <c r="C75" s="2" t="str">
        <f>'System Parameters'!C27</f>
        <v>mW</v>
      </c>
      <c r="D75" s="3">
        <f t="shared" si="1"/>
        <v>100</v>
      </c>
      <c r="E75" s="3">
        <f t="shared" si="3"/>
        <v>100</v>
      </c>
      <c r="F75" s="3">
        <f t="shared" si="7"/>
        <v>100</v>
      </c>
      <c r="G75" s="3">
        <f t="shared" si="12"/>
        <v>100</v>
      </c>
      <c r="H75" s="3">
        <f t="shared" si="14"/>
        <v>100</v>
      </c>
      <c r="I75" s="3">
        <f t="shared" si="16"/>
        <v>100</v>
      </c>
      <c r="J75" s="3">
        <f t="shared" si="20"/>
        <v>100</v>
      </c>
      <c r="K75" s="3">
        <f t="shared" si="22"/>
        <v>100</v>
      </c>
      <c r="L75" s="3">
        <f t="shared" si="26"/>
        <v>100</v>
      </c>
      <c r="M75" s="3">
        <f t="shared" ref="M75:M76" si="28">$B75</f>
        <v>100</v>
      </c>
      <c r="N75" s="2">
        <f>$B75*0.9</f>
        <v>90</v>
      </c>
      <c r="O75" s="3">
        <f>$B75</f>
        <v>100</v>
      </c>
      <c r="T75" s="4">
        <f>'System Parameters'!E27</f>
        <v>0</v>
      </c>
      <c r="U75" s="4">
        <f>'System Parameters'!F27</f>
        <v>0.03</v>
      </c>
      <c r="V75" s="4">
        <f>'System Parameters'!G27</f>
        <v>0.25</v>
      </c>
      <c r="W75" s="2">
        <f>'System Parameters'!H27</f>
        <v>0</v>
      </c>
    </row>
    <row r="76" customHeight="1" spans="1:23">
      <c r="A76" s="2" t="str">
        <f>'System Parameters'!A28</f>
        <v>RX Power</v>
      </c>
      <c r="B76" s="3">
        <f>'System Parameters'!B28</f>
        <v>90</v>
      </c>
      <c r="C76" s="2" t="str">
        <f>'System Parameters'!C28</f>
        <v>mW</v>
      </c>
      <c r="D76" s="3">
        <f t="shared" si="1"/>
        <v>90</v>
      </c>
      <c r="E76" s="3">
        <f t="shared" si="3"/>
        <v>90</v>
      </c>
      <c r="F76" s="3">
        <f t="shared" si="7"/>
        <v>90</v>
      </c>
      <c r="G76" s="3">
        <f t="shared" si="12"/>
        <v>90</v>
      </c>
      <c r="H76" s="3">
        <f t="shared" si="14"/>
        <v>90</v>
      </c>
      <c r="I76" s="3">
        <f t="shared" si="16"/>
        <v>90</v>
      </c>
      <c r="J76" s="3">
        <f t="shared" si="20"/>
        <v>90</v>
      </c>
      <c r="K76" s="3">
        <f t="shared" si="22"/>
        <v>90</v>
      </c>
      <c r="L76" s="3">
        <f t="shared" si="26"/>
        <v>90</v>
      </c>
      <c r="M76" s="3">
        <f t="shared" si="28"/>
        <v>90</v>
      </c>
      <c r="N76" s="3">
        <f>$B76</f>
        <v>90</v>
      </c>
      <c r="O76" s="2">
        <f>$B76*0.9</f>
        <v>81</v>
      </c>
      <c r="T76" s="4">
        <f>'System Parameters'!E28</f>
        <v>0</v>
      </c>
      <c r="U76" s="4">
        <f>'System Parameters'!F28</f>
        <v>0.02</v>
      </c>
      <c r="V76" s="4">
        <f>'System Parameters'!G28</f>
        <v>0.15</v>
      </c>
      <c r="W76" s="2">
        <f>'System Parameters'!H28</f>
        <v>0</v>
      </c>
    </row>
    <row r="77" customHeight="1" spans="1:23">
      <c r="A77" s="2">
        <f>'System Parameters'!A29</f>
        <v>0</v>
      </c>
      <c r="B77" s="2">
        <f>'System Parameters'!B29</f>
        <v>0</v>
      </c>
      <c r="C77" s="2">
        <f>'System Parameters'!C29</f>
        <v>0</v>
      </c>
      <c r="D77" s="2">
        <f>'System Parameters'!D29</f>
        <v>0</v>
      </c>
      <c r="T77" s="2">
        <f>'System Parameters'!E29</f>
        <v>0</v>
      </c>
      <c r="U77" s="2">
        <f>'System Parameters'!F29</f>
        <v>0</v>
      </c>
      <c r="V77" s="2">
        <f>'System Parameters'!G29</f>
        <v>0</v>
      </c>
      <c r="W77" s="2">
        <f>'System Parameters'!H29</f>
        <v>0</v>
      </c>
    </row>
    <row r="78" customHeight="1" spans="1:23">
      <c r="A78" s="2">
        <f>'System Parameters'!A30</f>
        <v>0</v>
      </c>
      <c r="B78" s="2">
        <f>'System Parameters'!B30</f>
        <v>0</v>
      </c>
      <c r="C78" s="2">
        <f>'System Parameters'!C30</f>
        <v>0</v>
      </c>
      <c r="D78" s="2">
        <f>'System Parameters'!D30</f>
        <v>0</v>
      </c>
      <c r="T78" s="2">
        <f>'System Parameters'!E30</f>
        <v>18</v>
      </c>
      <c r="U78" s="2">
        <f>'System Parameters'!F30</f>
        <v>5</v>
      </c>
      <c r="V78" s="2">
        <f>'System Parameters'!G30</f>
        <v>1</v>
      </c>
      <c r="W78" s="2" t="str">
        <f>'System Parameters'!H30</f>
        <v>hours/day typical usage</v>
      </c>
    </row>
    <row r="79" customHeight="1" spans="1:23">
      <c r="A79" s="2" t="str">
        <f>'System Parameters'!A31</f>
        <v>Battery</v>
      </c>
      <c r="B79" s="2">
        <f>'System Parameters'!B31</f>
        <v>0</v>
      </c>
      <c r="C79" s="2">
        <f>'System Parameters'!C31</f>
        <v>0</v>
      </c>
      <c r="D79" s="2">
        <f>'System Parameters'!D31</f>
        <v>0</v>
      </c>
      <c r="T79" s="2">
        <f>'System Parameters'!E31</f>
        <v>0</v>
      </c>
      <c r="U79" s="2">
        <f>'System Parameters'!F31</f>
        <v>0</v>
      </c>
      <c r="V79" s="2">
        <f>'System Parameters'!G31</f>
        <v>0</v>
      </c>
      <c r="W79" s="2">
        <f>'System Parameters'!H31</f>
        <v>0</v>
      </c>
    </row>
    <row r="80" customHeight="1" spans="1:23">
      <c r="A80" s="2" t="str">
        <f>'System Parameters'!A32</f>
        <v>Capacity</v>
      </c>
      <c r="B80" s="3">
        <f>'System Parameters'!B32</f>
        <v>430</v>
      </c>
      <c r="C80" s="2" t="str">
        <f>'System Parameters'!C32</f>
        <v>mAh</v>
      </c>
      <c r="D80" s="2">
        <f>'System Parameters'!D32</f>
        <v>0</v>
      </c>
      <c r="T80" s="2">
        <f>'System Parameters'!E32</f>
        <v>0</v>
      </c>
      <c r="U80" s="2">
        <f>'System Parameters'!F32</f>
        <v>0</v>
      </c>
      <c r="V80" s="2">
        <f>'System Parameters'!G32</f>
        <v>0</v>
      </c>
      <c r="W80" s="2">
        <f>'System Parameters'!H32</f>
        <v>0</v>
      </c>
    </row>
    <row r="81" customHeight="1" spans="1:23">
      <c r="A81" s="2" t="str">
        <f>'System Parameters'!A33</f>
        <v>Nominal Voltage</v>
      </c>
      <c r="B81" s="3">
        <f>'System Parameters'!B33</f>
        <v>3</v>
      </c>
      <c r="C81" s="2" t="str">
        <f>'System Parameters'!C33</f>
        <v>V</v>
      </c>
      <c r="D81" s="2">
        <f>'System Parameters'!D33</f>
        <v>0</v>
      </c>
      <c r="T81" s="2">
        <f>'System Parameters'!E33</f>
        <v>0</v>
      </c>
      <c r="U81" s="2">
        <f>'System Parameters'!F33</f>
        <v>0</v>
      </c>
      <c r="V81" s="2">
        <f>'System Parameters'!G33</f>
        <v>0</v>
      </c>
      <c r="W81" s="2">
        <f>'System Parameters'!H33</f>
        <v>0</v>
      </c>
    </row>
    <row r="82" customHeight="1" spans="1:23">
      <c r="A82" s="2" t="str">
        <f>'System Parameters'!A34</f>
        <v>Regulator Efficiency</v>
      </c>
      <c r="B82" s="4">
        <f>'System Parameters'!B34</f>
        <v>0.95</v>
      </c>
      <c r="C82" s="2">
        <f>'System Parameters'!C34</f>
        <v>0</v>
      </c>
      <c r="D82" s="2">
        <f>'System Parameters'!D34</f>
        <v>0</v>
      </c>
      <c r="T82" s="2">
        <f>'System Parameters'!E34</f>
        <v>0</v>
      </c>
      <c r="U82" s="2">
        <f>'System Parameters'!F34</f>
        <v>0</v>
      </c>
      <c r="V82" s="2">
        <f>'System Parameters'!G34</f>
        <v>0</v>
      </c>
      <c r="W82" s="2">
        <f>'System Parameters'!H34</f>
        <v>0</v>
      </c>
    </row>
    <row r="83" customHeight="1" spans="1:23">
      <c r="A83" s="2">
        <f>'System Parameters'!A35</f>
        <v>0</v>
      </c>
      <c r="B83" s="2">
        <f>'System Parameters'!B35</f>
        <v>0</v>
      </c>
      <c r="C83" s="2">
        <f>'System Parameters'!C35</f>
        <v>0</v>
      </c>
      <c r="D83" s="2">
        <f>'System Parameters'!D35</f>
        <v>0</v>
      </c>
      <c r="O83" s="2">
        <f>'System Parameters'!E35</f>
        <v>0</v>
      </c>
      <c r="P83" s="2">
        <f>'System Parameters'!F35</f>
        <v>0</v>
      </c>
      <c r="Q83" s="2">
        <f>'System Parameters'!G35</f>
        <v>0</v>
      </c>
      <c r="R83" s="2">
        <f>'System Parameters'!H35</f>
        <v>0</v>
      </c>
      <c r="S83" s="2">
        <f>'System Parameters'!I35</f>
        <v>0</v>
      </c>
      <c r="T83" s="2">
        <f>'System Parameters'!J35</f>
        <v>0</v>
      </c>
      <c r="U83" s="2" t="e">
        <f>#REF!</f>
        <v>#REF!</v>
      </c>
      <c r="V83" s="2" t="e">
        <f>#REF!</f>
        <v>#REF!</v>
      </c>
    </row>
    <row r="84" customHeight="1" spans="1:23">
      <c r="A84" s="2">
        <f>'System Parameters'!A36</f>
        <v>0</v>
      </c>
      <c r="B84" s="2">
        <f>'System Parameters'!B36</f>
        <v>0</v>
      </c>
      <c r="C84" s="2">
        <f>'System Parameters'!C36</f>
        <v>0</v>
      </c>
      <c r="D84" s="2">
        <f>'System Parameters'!D36</f>
        <v>0</v>
      </c>
      <c r="O84" s="2">
        <f>'System Parameters'!E36</f>
        <v>0</v>
      </c>
      <c r="P84" s="2">
        <f>'System Parameters'!F36</f>
        <v>0</v>
      </c>
      <c r="Q84" s="2">
        <f>'System Parameters'!G36</f>
        <v>0</v>
      </c>
      <c r="R84" s="2">
        <f>'System Parameters'!H36</f>
        <v>0</v>
      </c>
      <c r="S84" s="2">
        <f>'System Parameters'!I36</f>
        <v>0</v>
      </c>
      <c r="T84" s="2">
        <f>'System Parameters'!J36</f>
        <v>0</v>
      </c>
      <c r="U84" s="2" t="e">
        <f>#REF!</f>
        <v>#REF!</v>
      </c>
      <c r="V84" s="2" t="e">
        <f>#REF!</f>
        <v>#REF!</v>
      </c>
    </row>
    <row r="85" customHeight="1" spans="1:23">
      <c r="A85" s="2">
        <f>'System Parameters'!A37</f>
        <v>0</v>
      </c>
      <c r="B85" s="2">
        <f>'System Parameters'!K24</f>
        <v>0</v>
      </c>
      <c r="C85" s="2">
        <f>'System Parameters'!L24</f>
        <v>0</v>
      </c>
      <c r="D85" s="2">
        <f>'System Parameters'!M24</f>
        <v>0</v>
      </c>
      <c r="O85" s="2">
        <f>'System Parameters'!N24</f>
        <v>0</v>
      </c>
      <c r="P85" s="2">
        <f>'System Parameters'!O24</f>
        <v>0</v>
      </c>
      <c r="Q85" s="2">
        <f>'System Parameters'!P24</f>
        <v>0</v>
      </c>
      <c r="R85" s="2">
        <f>'System Parameters'!Q24</f>
        <v>0</v>
      </c>
      <c r="S85" s="2">
        <f>'System Parameters'!I37</f>
        <v>0</v>
      </c>
      <c r="T85" s="2">
        <f>'System Parameters'!J37</f>
        <v>0</v>
      </c>
      <c r="U85" s="2" t="e">
        <f>#REF!</f>
        <v>#REF!</v>
      </c>
      <c r="V85" s="2" t="e">
        <f>#REF!</f>
        <v>#REF!</v>
      </c>
    </row>
    <row r="86" customHeight="1" spans="1:23">
      <c r="A86" s="2" t="str">
        <f>'System Parameters'!A38</f>
        <v>REFLECTIONS : WHAT DID YOU LEARN FROM ANALYZING YOUR POWER.  TALK ABOUT SOME POTENTIAL TRADEOFFS. </v>
      </c>
      <c r="B86" s="2">
        <f>'System Parameters'!K25</f>
        <v>0</v>
      </c>
      <c r="C86" s="2" t="e">
        <f>#REF!</f>
        <v>#REF!</v>
      </c>
      <c r="D86" s="2" t="e">
        <f>#REF!</f>
        <v>#REF!</v>
      </c>
      <c r="O86" s="2" t="e">
        <f>#REF!</f>
        <v>#REF!</v>
      </c>
      <c r="P86" s="2" t="e">
        <f>#REF!</f>
        <v>#REF!</v>
      </c>
      <c r="Q86" s="2" t="e">
        <f>#REF!</f>
        <v>#REF!</v>
      </c>
      <c r="R86" s="2">
        <f>'System Parameters'!Q25</f>
        <v>0</v>
      </c>
      <c r="S86" s="2">
        <f>'System Parameters'!I38</f>
        <v>0</v>
      </c>
      <c r="T86" s="2">
        <f>'System Parameters'!J38</f>
        <v>0</v>
      </c>
      <c r="U86" s="2" t="e">
        <f>#REF!</f>
        <v>#REF!</v>
      </c>
      <c r="V86" s="2" t="e">
        <f>#REF!</f>
        <v>#REF!</v>
      </c>
    </row>
    <row r="87" customHeight="1" spans="1:23">
      <c r="A87" s="2" t="str">
        <f>'System Parameters'!L25</f>
        <v>Total power in profile (mw)</v>
      </c>
      <c r="B87" s="2">
        <f>'System Parameters'!M25</f>
        <v>0</v>
      </c>
      <c r="C87" s="2">
        <f>'System Parameters'!N25</f>
        <v>0</v>
      </c>
      <c r="R87" s="2">
        <f>'System Parameters'!Q26</f>
        <v>0</v>
      </c>
      <c r="S87" s="2">
        <f>'System Parameters'!I39</f>
        <v>0</v>
      </c>
      <c r="T87" s="2">
        <f>'System Parameters'!J39</f>
        <v>0</v>
      </c>
      <c r="U87" s="2">
        <f>'System Parameters'!K39</f>
        <v>0</v>
      </c>
      <c r="V87" s="2">
        <f>'System Parameters'!L39</f>
        <v>0</v>
      </c>
    </row>
    <row r="88" customHeight="1" spans="1:23">
      <c r="A88" s="2" t="str">
        <f>'System Parameters'!L26</f>
        <v>"off"</v>
      </c>
      <c r="B88" s="2">
        <f>SUMPRODUCT(B56:B76,$T56:$T76)</f>
        <v>1</v>
      </c>
      <c r="C88" s="2" t="str">
        <f>'System Parameters'!N26</f>
        <v>mW</v>
      </c>
      <c r="D88" s="2">
        <f t="shared" ref="D88:O88" si="29">SUMPRODUCT(D56:D76,$T56:$T76)</f>
        <v>1</v>
      </c>
      <c r="E88" s="2">
        <f t="shared" si="29"/>
        <v>1</v>
      </c>
      <c r="F88" s="2">
        <f t="shared" si="29"/>
        <v>0.9</v>
      </c>
      <c r="G88" s="2">
        <f t="shared" si="29"/>
        <v>1</v>
      </c>
      <c r="H88" s="2">
        <f t="shared" si="29"/>
        <v>1</v>
      </c>
      <c r="I88" s="2">
        <f t="shared" si="29"/>
        <v>1</v>
      </c>
      <c r="J88" s="2">
        <f t="shared" si="29"/>
        <v>1</v>
      </c>
      <c r="K88" s="2">
        <f t="shared" si="29"/>
        <v>1</v>
      </c>
      <c r="L88" s="2">
        <f t="shared" si="29"/>
        <v>1</v>
      </c>
      <c r="M88" s="2">
        <f t="shared" si="29"/>
        <v>1</v>
      </c>
      <c r="N88" s="2">
        <f t="shared" si="29"/>
        <v>1</v>
      </c>
      <c r="O88" s="2">
        <f t="shared" si="29"/>
        <v>1</v>
      </c>
      <c r="R88" s="2">
        <f>'System Parameters'!Q27</f>
        <v>0</v>
      </c>
      <c r="S88" s="2">
        <f>'System Parameters'!I40</f>
        <v>0</v>
      </c>
      <c r="T88" s="2">
        <f>'System Parameters'!J40</f>
        <v>0</v>
      </c>
      <c r="U88" s="2">
        <f>'System Parameters'!K40</f>
        <v>0</v>
      </c>
      <c r="V88" s="2">
        <f>'System Parameters'!L40</f>
        <v>0</v>
      </c>
    </row>
    <row r="89" customHeight="1" spans="1:23">
      <c r="A89" s="2" t="str">
        <f>'System Parameters'!L27</f>
        <v>"sensing"</v>
      </c>
      <c r="B89" s="2">
        <f>SUMPRODUCT(B56:B76,$U56:$U76)</f>
        <v>109.06</v>
      </c>
      <c r="C89" s="2" t="str">
        <f>'System Parameters'!N27</f>
        <v>mW</v>
      </c>
      <c r="D89" s="2">
        <f t="shared" ref="D89:O89" si="30">SUMPRODUCT(D56:D76,$U56:$U76)</f>
        <v>108.6055</v>
      </c>
      <c r="E89" s="2">
        <f t="shared" si="30"/>
        <v>107.7235</v>
      </c>
      <c r="F89" s="2">
        <f t="shared" si="30"/>
        <v>108.98</v>
      </c>
      <c r="G89" s="2">
        <f t="shared" si="30"/>
        <v>109.06</v>
      </c>
      <c r="H89" s="2">
        <f t="shared" si="30"/>
        <v>109.03</v>
      </c>
      <c r="I89" s="2">
        <f t="shared" si="30"/>
        <v>108.99</v>
      </c>
      <c r="J89" s="2">
        <f t="shared" si="30"/>
        <v>109.06</v>
      </c>
      <c r="K89" s="2">
        <f t="shared" si="30"/>
        <v>109.06</v>
      </c>
      <c r="L89" s="2">
        <f t="shared" si="30"/>
        <v>109.06</v>
      </c>
      <c r="M89" s="2">
        <f t="shared" si="30"/>
        <v>100.605</v>
      </c>
      <c r="N89" s="2">
        <f t="shared" si="30"/>
        <v>108.76</v>
      </c>
      <c r="O89" s="2">
        <f t="shared" si="30"/>
        <v>108.88</v>
      </c>
      <c r="R89" s="2">
        <f>'System Parameters'!Q28</f>
        <v>0</v>
      </c>
      <c r="S89" s="2">
        <f>'System Parameters'!I41</f>
        <v>0</v>
      </c>
      <c r="T89" s="2">
        <f>'System Parameters'!J41</f>
        <v>0</v>
      </c>
      <c r="U89" s="2">
        <f>'System Parameters'!K41</f>
        <v>0</v>
      </c>
      <c r="V89" s="2">
        <f>'System Parameters'!L41</f>
        <v>0</v>
      </c>
    </row>
    <row r="90" customHeight="1" spans="1:23">
      <c r="A90" s="2" t="str">
        <f>'System Parameters'!L28</f>
        <v>"interactive"</v>
      </c>
      <c r="B90" s="2">
        <f>SUMPRODUCT(B56:B76,$V56:$V76)</f>
        <v>183.26</v>
      </c>
      <c r="C90" s="2" t="str">
        <f>'System Parameters'!N28</f>
        <v>mW</v>
      </c>
      <c r="D90" s="2">
        <f t="shared" ref="D90:O90" si="31">SUMPRODUCT(D56:D76,$V56:$V76)</f>
        <v>176.897</v>
      </c>
      <c r="E90" s="2">
        <f t="shared" si="31"/>
        <v>180.587</v>
      </c>
      <c r="F90" s="2">
        <f t="shared" si="31"/>
        <v>183.26</v>
      </c>
      <c r="G90" s="2">
        <f t="shared" si="31"/>
        <v>183.26</v>
      </c>
      <c r="H90" s="2">
        <f t="shared" si="31"/>
        <v>183.16</v>
      </c>
      <c r="I90" s="2">
        <f t="shared" si="31"/>
        <v>183.26</v>
      </c>
      <c r="J90" s="2">
        <f t="shared" si="31"/>
        <v>183.26</v>
      </c>
      <c r="K90" s="2">
        <f t="shared" si="31"/>
        <v>183.26</v>
      </c>
      <c r="L90" s="2">
        <f t="shared" si="31"/>
        <v>183.26</v>
      </c>
      <c r="M90" s="2">
        <f t="shared" si="31"/>
        <v>177.92</v>
      </c>
      <c r="N90" s="2">
        <f t="shared" si="31"/>
        <v>180.76</v>
      </c>
      <c r="O90" s="2">
        <f t="shared" si="31"/>
        <v>181.91</v>
      </c>
      <c r="R90" s="2">
        <f>'System Parameters'!Q29</f>
        <v>0</v>
      </c>
      <c r="S90" s="2">
        <f>'System Parameters'!I42</f>
        <v>0</v>
      </c>
      <c r="T90" s="2">
        <f>'System Parameters'!J42</f>
        <v>0</v>
      </c>
      <c r="U90" s="2">
        <f>'System Parameters'!K42</f>
        <v>0</v>
      </c>
      <c r="V90" s="2">
        <f>'System Parameters'!L42</f>
        <v>0</v>
      </c>
    </row>
    <row r="91" customHeight="1" spans="1:23">
      <c r="A91" s="2">
        <f>'System Parameters'!L29</f>
        <v>0</v>
      </c>
      <c r="B91" s="2">
        <f>'System Parameters'!M29</f>
        <v>0</v>
      </c>
      <c r="C91" s="2">
        <f>'System Parameters'!N29</f>
        <v>0</v>
      </c>
      <c r="D91" s="2">
        <f>'System Parameters'!O29</f>
        <v>0</v>
      </c>
      <c r="E91" s="2">
        <f>'System Parameters'!P29</f>
        <v>0</v>
      </c>
      <c r="F91" s="2">
        <f>'System Parameters'!Q30</f>
        <v>0</v>
      </c>
      <c r="G91" s="2">
        <f>'System Parameters'!I43</f>
        <v>0</v>
      </c>
      <c r="H91" s="2">
        <f>'System Parameters'!J43</f>
        <v>0</v>
      </c>
      <c r="I91" s="2">
        <f>'System Parameters'!K43</f>
        <v>0</v>
      </c>
      <c r="J91" s="2">
        <f>'System Parameters'!L43</f>
        <v>0</v>
      </c>
      <c r="K91" s="2">
        <f>'System Parameters'!M43</f>
        <v>0</v>
      </c>
      <c r="L91" s="2">
        <f>'System Parameters'!N43</f>
        <v>0</v>
      </c>
      <c r="M91" s="2">
        <f>'System Parameters'!O43</f>
        <v>0</v>
      </c>
      <c r="N91" s="2">
        <f>'System Parameters'!P43</f>
        <v>0</v>
      </c>
      <c r="O91" s="2">
        <f>'System Parameters'!Q43</f>
        <v>0</v>
      </c>
      <c r="R91" s="2">
        <f>'System Parameters'!Q30</f>
        <v>0</v>
      </c>
      <c r="S91" s="2">
        <f>'System Parameters'!I43</f>
        <v>0</v>
      </c>
      <c r="T91" s="2">
        <f>'System Parameters'!J43</f>
        <v>0</v>
      </c>
      <c r="U91" s="2">
        <f>'System Parameters'!K43</f>
        <v>0</v>
      </c>
      <c r="V91" s="2">
        <f>'System Parameters'!L43</f>
        <v>0</v>
      </c>
    </row>
    <row r="92" customHeight="1" spans="1:23">
      <c r="A92" s="2" t="str">
        <f>'System Parameters'!L30</f>
        <v>Effective Battery Capacity</v>
      </c>
      <c r="B92" s="2">
        <f>'System Parameters'!M30</f>
        <v>0</v>
      </c>
      <c r="C92" s="2">
        <f>'System Parameters'!N30</f>
        <v>0</v>
      </c>
      <c r="D92" s="2">
        <f>'System Parameters'!O30</f>
        <v>0</v>
      </c>
      <c r="E92" s="2">
        <f>'System Parameters'!P30</f>
        <v>0</v>
      </c>
      <c r="F92" s="2">
        <f>'System Parameters'!Q31</f>
        <v>0</v>
      </c>
      <c r="G92" s="2">
        <f>'System Parameters'!I44</f>
        <v>0</v>
      </c>
      <c r="H92" s="2">
        <f>'System Parameters'!J44</f>
        <v>0</v>
      </c>
      <c r="I92" s="2">
        <f>'System Parameters'!K44</f>
        <v>0</v>
      </c>
      <c r="J92" s="2">
        <f>'System Parameters'!L44</f>
        <v>0</v>
      </c>
      <c r="K92" s="2">
        <f>'System Parameters'!M44</f>
        <v>0</v>
      </c>
      <c r="L92" s="2">
        <f>'System Parameters'!N44</f>
        <v>0</v>
      </c>
      <c r="M92" s="2">
        <f>'System Parameters'!O44</f>
        <v>0</v>
      </c>
      <c r="N92" s="2">
        <f>'System Parameters'!P44</f>
        <v>0</v>
      </c>
      <c r="O92" s="2">
        <f>'System Parameters'!Q44</f>
        <v>0</v>
      </c>
      <c r="P92" s="2">
        <f>'System Parameters'!O30</f>
        <v>0</v>
      </c>
      <c r="Q92" s="2">
        <f>'System Parameters'!P30</f>
        <v>0</v>
      </c>
      <c r="R92" s="2">
        <f>'System Parameters'!Q31</f>
        <v>0</v>
      </c>
      <c r="S92" s="2">
        <f>'System Parameters'!I44</f>
        <v>0</v>
      </c>
      <c r="T92" s="2">
        <f>'System Parameters'!J44</f>
        <v>0</v>
      </c>
      <c r="U92" s="2">
        <f>'System Parameters'!K44</f>
        <v>0</v>
      </c>
      <c r="V92" s="2">
        <f>'System Parameters'!L44</f>
        <v>0</v>
      </c>
    </row>
    <row r="93" customHeight="1" spans="1:23">
      <c r="A93" s="2">
        <f>'System Parameters'!L31</f>
        <v>0</v>
      </c>
      <c r="B93" s="2">
        <f>B80*B81*B82</f>
        <v>1225.5</v>
      </c>
      <c r="C93" s="2" t="str">
        <f>'System Parameters'!N31</f>
        <v>mW*h</v>
      </c>
      <c r="D93" s="2">
        <f t="shared" ref="D93:O93" si="32">$B93</f>
        <v>1225.5</v>
      </c>
      <c r="E93" s="2">
        <f t="shared" si="32"/>
        <v>1225.5</v>
      </c>
      <c r="F93" s="2">
        <f t="shared" si="32"/>
        <v>1225.5</v>
      </c>
      <c r="G93" s="2">
        <f t="shared" si="32"/>
        <v>1225.5</v>
      </c>
      <c r="H93" s="2">
        <f t="shared" si="32"/>
        <v>1225.5</v>
      </c>
      <c r="I93" s="2">
        <f t="shared" si="32"/>
        <v>1225.5</v>
      </c>
      <c r="J93" s="2">
        <f t="shared" si="32"/>
        <v>1225.5</v>
      </c>
      <c r="K93" s="2">
        <f t="shared" si="32"/>
        <v>1225.5</v>
      </c>
      <c r="L93" s="2">
        <f t="shared" si="32"/>
        <v>1225.5</v>
      </c>
      <c r="M93" s="2">
        <f t="shared" si="32"/>
        <v>1225.5</v>
      </c>
      <c r="N93" s="2">
        <f t="shared" si="32"/>
        <v>1225.5</v>
      </c>
      <c r="O93" s="2">
        <f t="shared" si="32"/>
        <v>1225.5</v>
      </c>
      <c r="P93" s="2">
        <f>'System Parameters'!O31</f>
        <v>0</v>
      </c>
      <c r="Q93" s="2">
        <f>'System Parameters'!P31</f>
        <v>0</v>
      </c>
      <c r="R93" s="2">
        <f>'System Parameters'!Q32</f>
        <v>0</v>
      </c>
      <c r="S93" s="2">
        <f>'System Parameters'!I45</f>
        <v>0</v>
      </c>
      <c r="T93" s="2">
        <f>'System Parameters'!J45</f>
        <v>0</v>
      </c>
      <c r="U93" s="2">
        <f>'System Parameters'!K45</f>
        <v>0</v>
      </c>
      <c r="V93" s="2">
        <f>'System Parameters'!L45</f>
        <v>0</v>
      </c>
    </row>
    <row r="94" customHeight="1" spans="1:23">
      <c r="A94" s="2">
        <f>'System Parameters'!L32</f>
        <v>0</v>
      </c>
      <c r="B94" s="2">
        <f>'System Parameters'!M32</f>
        <v>0</v>
      </c>
      <c r="C94" s="2">
        <f>'System Parameters'!N32</f>
        <v>0</v>
      </c>
      <c r="D94" s="2">
        <f>'System Parameters'!O32</f>
        <v>0</v>
      </c>
      <c r="E94" s="2">
        <f>'System Parameters'!P32</f>
        <v>0</v>
      </c>
      <c r="F94" s="2">
        <f>'System Parameters'!Q33</f>
        <v>0</v>
      </c>
      <c r="G94" s="2">
        <f>'System Parameters'!I46</f>
        <v>0</v>
      </c>
      <c r="H94" s="2">
        <f>'System Parameters'!J46</f>
        <v>0</v>
      </c>
      <c r="I94" s="2">
        <f>'System Parameters'!K46</f>
        <v>0</v>
      </c>
      <c r="J94" s="2">
        <f>'System Parameters'!L46</f>
        <v>0</v>
      </c>
      <c r="K94" s="2">
        <f>'System Parameters'!M46</f>
        <v>0</v>
      </c>
      <c r="L94" s="2">
        <f>'System Parameters'!N46</f>
        <v>0</v>
      </c>
      <c r="M94" s="2">
        <f>'System Parameters'!O46</f>
        <v>0</v>
      </c>
      <c r="N94" s="2">
        <f>'System Parameters'!P46</f>
        <v>0</v>
      </c>
      <c r="O94" s="2">
        <f>'System Parameters'!Q46</f>
        <v>0</v>
      </c>
      <c r="P94" s="2">
        <f>'System Parameters'!O32</f>
        <v>0</v>
      </c>
      <c r="Q94" s="2">
        <f>'System Parameters'!P32</f>
        <v>0</v>
      </c>
      <c r="R94" s="2">
        <f>'System Parameters'!Q33</f>
        <v>0</v>
      </c>
      <c r="S94" s="2">
        <f>'System Parameters'!I46</f>
        <v>0</v>
      </c>
      <c r="T94" s="2">
        <f>'System Parameters'!J46</f>
        <v>0</v>
      </c>
      <c r="U94" s="2">
        <f>'System Parameters'!K46</f>
        <v>0</v>
      </c>
      <c r="V94" s="2">
        <f>'System Parameters'!L46</f>
        <v>0</v>
      </c>
    </row>
    <row r="95" customHeight="1" spans="1:23">
      <c r="A95" s="2" t="str">
        <f>'System Parameters'!L33</f>
        <v>Days of Use</v>
      </c>
      <c r="B95" s="2">
        <f>B93/($T78*B88+$U78*B89+$V78*B90)</f>
        <v>1.641529147021</v>
      </c>
      <c r="C95" s="2" t="str">
        <f>'System Parameters'!N33</f>
        <v>days</v>
      </c>
      <c r="D95" s="2">
        <f t="shared" ref="D95:O95" si="33">D93/($T78*D88+$U78*D89+$V78*D90)</f>
        <v>1.66073900514213</v>
      </c>
      <c r="E95" s="2">
        <f t="shared" si="33"/>
        <v>1.6623609866733</v>
      </c>
      <c r="F95" s="2">
        <f t="shared" si="33"/>
        <v>1.64638078349186</v>
      </c>
      <c r="G95" s="2">
        <f t="shared" si="33"/>
        <v>1.641529147021</v>
      </c>
      <c r="H95" s="2">
        <f t="shared" si="33"/>
        <v>1.6420790288218</v>
      </c>
      <c r="I95" s="2">
        <f t="shared" si="33"/>
        <v>1.64229908470806</v>
      </c>
      <c r="J95" s="2">
        <f t="shared" si="33"/>
        <v>1.641529147021</v>
      </c>
      <c r="K95" s="2">
        <f t="shared" si="33"/>
        <v>1.641529147021</v>
      </c>
      <c r="L95" s="2">
        <f t="shared" si="33"/>
        <v>1.641529147021</v>
      </c>
      <c r="M95" s="2">
        <f t="shared" si="33"/>
        <v>1.75335684495919</v>
      </c>
      <c r="N95" s="2">
        <f t="shared" si="33"/>
        <v>1.65037168713639</v>
      </c>
      <c r="O95" s="2">
        <f t="shared" si="33"/>
        <v>1.64649138127931</v>
      </c>
      <c r="P95" s="2">
        <f>'System Parameters'!O33</f>
        <v>0</v>
      </c>
      <c r="Q95" s="2">
        <f>'System Parameters'!P33</f>
        <v>0</v>
      </c>
      <c r="R95" s="2">
        <f>'System Parameters'!Q34</f>
        <v>0</v>
      </c>
      <c r="S95" s="2">
        <f>'System Parameters'!I47</f>
        <v>0</v>
      </c>
      <c r="T95" s="2">
        <f>'System Parameters'!J47</f>
        <v>0</v>
      </c>
      <c r="U95" s="2">
        <f>'System Parameters'!K47</f>
        <v>0</v>
      </c>
      <c r="V95" s="2">
        <f>'System Parameters'!L47</f>
        <v>0</v>
      </c>
    </row>
    <row r="96" customHeight="1" spans="1:23">
      <c r="A96" s="2" t="str">
        <f>'System Parameters'!L34</f>
        <v>Hours of Use</v>
      </c>
      <c r="B96" s="2">
        <f>B95*24</f>
        <v>39.3966995285041</v>
      </c>
      <c r="C96" s="2" t="str">
        <f>'System Parameters'!N34</f>
        <v>hours</v>
      </c>
      <c r="D96" s="2">
        <f t="shared" ref="D96:O96" si="34">D95*24</f>
        <v>39.857736123411</v>
      </c>
      <c r="E96" s="2">
        <f t="shared" si="34"/>
        <v>39.8966636801593</v>
      </c>
      <c r="F96" s="2">
        <f t="shared" si="34"/>
        <v>39.5131388038046</v>
      </c>
      <c r="G96" s="2">
        <f t="shared" si="34"/>
        <v>39.3966995285041</v>
      </c>
      <c r="H96" s="2">
        <f t="shared" si="34"/>
        <v>39.4098966917233</v>
      </c>
      <c r="I96" s="2">
        <f t="shared" si="34"/>
        <v>39.4151780329934</v>
      </c>
      <c r="J96" s="2">
        <f t="shared" si="34"/>
        <v>39.3966995285041</v>
      </c>
      <c r="K96" s="2">
        <f t="shared" si="34"/>
        <v>39.3966995285041</v>
      </c>
      <c r="L96" s="2">
        <f t="shared" si="34"/>
        <v>39.3966995285041</v>
      </c>
      <c r="M96" s="2">
        <f t="shared" si="34"/>
        <v>42.0805642790205</v>
      </c>
      <c r="N96" s="2">
        <f t="shared" si="34"/>
        <v>39.6089204912734</v>
      </c>
      <c r="O96" s="2">
        <f t="shared" si="34"/>
        <v>39.5157931507033</v>
      </c>
      <c r="P96" s="2">
        <f>'System Parameters'!O34</f>
        <v>0</v>
      </c>
      <c r="Q96" s="2">
        <f>'System Parameters'!P34</f>
        <v>0</v>
      </c>
      <c r="R96" s="2">
        <f>'System Parameters'!Q35</f>
        <v>0</v>
      </c>
      <c r="S96" s="2">
        <f>'System Parameters'!I48</f>
        <v>0</v>
      </c>
      <c r="T96" s="2">
        <f>'System Parameters'!J48</f>
        <v>0</v>
      </c>
      <c r="U96" s="2">
        <f>'System Parameters'!K48</f>
        <v>0</v>
      </c>
      <c r="V96" s="2">
        <f>'System Parameters'!L48</f>
        <v>0</v>
      </c>
    </row>
    <row r="97" customHeight="1" spans="1:22">
      <c r="A97" s="2">
        <f>'System Parameters'!A49</f>
        <v>0</v>
      </c>
      <c r="B97" s="2">
        <f>'System Parameters'!K36</f>
        <v>0</v>
      </c>
      <c r="C97" s="2">
        <f>'System Parameters'!L36</f>
        <v>0</v>
      </c>
      <c r="D97" s="2">
        <f>'System Parameters'!M36</f>
        <v>0</v>
      </c>
      <c r="O97" s="2">
        <f>'System Parameters'!N36</f>
        <v>0</v>
      </c>
      <c r="P97" s="2">
        <f>'System Parameters'!O36</f>
        <v>0</v>
      </c>
      <c r="Q97" s="2">
        <f>'System Parameters'!P36</f>
        <v>0</v>
      </c>
      <c r="R97" s="2">
        <f>'System Parameters'!Q36</f>
        <v>0</v>
      </c>
      <c r="S97" s="2">
        <f>'System Parameters'!I49</f>
        <v>0</v>
      </c>
      <c r="T97" s="2">
        <f>'System Parameters'!J49</f>
        <v>0</v>
      </c>
      <c r="U97" s="2">
        <f>'System Parameters'!K49</f>
        <v>0</v>
      </c>
      <c r="V97" s="2">
        <f>'System Parameters'!L49</f>
        <v>0</v>
      </c>
    </row>
    <row r="98" customHeight="1" spans="1:22">
      <c r="A98" s="1" t="s">
        <v>41</v>
      </c>
      <c r="B98" s="2">
        <f>'System Parameters'!K37</f>
        <v>0</v>
      </c>
      <c r="C98" s="2">
        <f>'System Parameters'!L37</f>
        <v>0</v>
      </c>
      <c r="D98" s="5">
        <f t="shared" ref="D98:O98" si="35">D96/$B96-1</f>
        <v>0.011702416710653</v>
      </c>
      <c r="E98" s="5">
        <f t="shared" si="35"/>
        <v>0.0126905085359625</v>
      </c>
      <c r="F98" s="5">
        <f t="shared" si="35"/>
        <v>0.00295555913805146</v>
      </c>
      <c r="G98" s="5">
        <f t="shared" si="35"/>
        <v>0</v>
      </c>
      <c r="H98" s="5">
        <f t="shared" si="35"/>
        <v>0.000334981442028148</v>
      </c>
      <c r="I98" s="5">
        <f t="shared" si="35"/>
        <v>0.000469036866297845</v>
      </c>
      <c r="J98" s="5">
        <f t="shared" si="35"/>
        <v>0</v>
      </c>
      <c r="K98" s="5">
        <f t="shared" si="35"/>
        <v>0</v>
      </c>
      <c r="L98" s="5">
        <f t="shared" si="35"/>
        <v>0</v>
      </c>
      <c r="M98" s="5">
        <f t="shared" si="35"/>
        <v>0.0681241013241383</v>
      </c>
      <c r="N98" s="5">
        <f t="shared" si="35"/>
        <v>0.00538677009265265</v>
      </c>
      <c r="O98" s="5">
        <f t="shared" si="35"/>
        <v>0.00302293399255693</v>
      </c>
      <c r="P98" s="2">
        <f>'System Parameters'!O37</f>
        <v>0</v>
      </c>
      <c r="Q98" s="2">
        <f>'System Parameters'!P37</f>
        <v>0</v>
      </c>
      <c r="R98" s="2">
        <f>'System Parameters'!Q37</f>
        <v>0</v>
      </c>
      <c r="S98" s="2">
        <f>'System Parameters'!I50</f>
        <v>0</v>
      </c>
      <c r="T98" s="2">
        <f>'System Parameters'!J50</f>
        <v>0</v>
      </c>
      <c r="U98" s="2">
        <f>'System Parameters'!K50</f>
        <v>0</v>
      </c>
      <c r="V98" s="2">
        <f>'System Parameters'!L50</f>
        <v>0</v>
      </c>
    </row>
    <row r="99" customHeight="1" spans="1:22">
      <c r="A99" s="1" t="s">
        <v>42</v>
      </c>
      <c r="B99" s="2">
        <f>'System Parameters'!K38</f>
        <v>0</v>
      </c>
      <c r="C99" s="2">
        <f>'System Parameters'!L38</f>
        <v>0</v>
      </c>
      <c r="D99" s="1" t="s">
        <v>43</v>
      </c>
      <c r="E99" s="1" t="s">
        <v>44</v>
      </c>
      <c r="F99" s="1" t="s">
        <v>45</v>
      </c>
      <c r="G99" s="1" t="s">
        <v>46</v>
      </c>
      <c r="H99" s="1" t="s">
        <v>47</v>
      </c>
      <c r="I99" s="1" t="s">
        <v>48</v>
      </c>
      <c r="J99" s="1" t="s">
        <v>49</v>
      </c>
      <c r="K99" s="1" t="s">
        <v>50</v>
      </c>
      <c r="L99" s="1" t="s">
        <v>51</v>
      </c>
      <c r="M99" s="1" t="s">
        <v>52</v>
      </c>
      <c r="N99" s="1" t="s">
        <v>53</v>
      </c>
      <c r="O99" s="1" t="s">
        <v>54</v>
      </c>
      <c r="P99" s="2">
        <f>'System Parameters'!O38</f>
        <v>0</v>
      </c>
      <c r="Q99" s="2">
        <f>'System Parameters'!P38</f>
        <v>0</v>
      </c>
      <c r="R99" s="2">
        <f>'System Parameters'!Q38</f>
        <v>0</v>
      </c>
      <c r="S99" s="2">
        <f>'System Parameters'!I51</f>
        <v>0</v>
      </c>
      <c r="T99" s="2">
        <f>'System Parameters'!J51</f>
        <v>0</v>
      </c>
      <c r="U99" s="2">
        <f>'System Parameters'!K51</f>
        <v>0</v>
      </c>
      <c r="V99" s="2">
        <f>'System Parameters'!L51</f>
        <v>0</v>
      </c>
    </row>
    <row r="100" customHeight="1" spans="1:22">
      <c r="A100" s="2">
        <f>'System Parameters'!A52</f>
        <v>0</v>
      </c>
      <c r="B100" s="2">
        <f>'System Parameters'!B52</f>
        <v>0</v>
      </c>
      <c r="C100" s="2">
        <f>'System Parameters'!C52</f>
        <v>0</v>
      </c>
      <c r="D100" s="2">
        <f>'System Parameters'!D52</f>
        <v>0</v>
      </c>
      <c r="O100" s="2">
        <f>'System Parameters'!E52</f>
        <v>0</v>
      </c>
      <c r="P100" s="2">
        <f>'System Parameters'!F52</f>
        <v>0</v>
      </c>
      <c r="Q100" s="2">
        <f>'System Parameters'!G52</f>
        <v>0</v>
      </c>
      <c r="R100" s="2">
        <f>'System Parameters'!H52</f>
        <v>0</v>
      </c>
      <c r="S100" s="2">
        <f>'System Parameters'!I52</f>
        <v>0</v>
      </c>
      <c r="T100" s="2">
        <f>'System Parameters'!J52</f>
        <v>0</v>
      </c>
      <c r="U100" s="2">
        <f>'System Parameters'!K52</f>
        <v>0</v>
      </c>
      <c r="V100" s="2">
        <f>'System Parameters'!L52</f>
        <v>0</v>
      </c>
    </row>
    <row r="101" customHeight="1" spans="1:22">
      <c r="A101" s="2">
        <f>'System Parameters'!A53</f>
        <v>0</v>
      </c>
      <c r="B101" s="2">
        <f>'System Parameters'!B53</f>
        <v>0</v>
      </c>
      <c r="C101" s="2">
        <f>'System Parameters'!C53</f>
        <v>0</v>
      </c>
      <c r="D101" s="2">
        <f>'System Parameters'!D53</f>
        <v>0</v>
      </c>
      <c r="O101" s="2">
        <f>'System Parameters'!E53</f>
        <v>0</v>
      </c>
      <c r="P101" s="2">
        <f>'System Parameters'!F53</f>
        <v>0</v>
      </c>
      <c r="Q101" s="2">
        <f>'System Parameters'!G53</f>
        <v>0</v>
      </c>
      <c r="R101" s="2">
        <f>'System Parameters'!H53</f>
        <v>0</v>
      </c>
      <c r="S101" s="2">
        <f>'System Parameters'!I53</f>
        <v>0</v>
      </c>
      <c r="T101" s="2">
        <f>'System Parameters'!J53</f>
        <v>0</v>
      </c>
      <c r="U101" s="2">
        <f>'System Parameters'!K53</f>
        <v>0</v>
      </c>
      <c r="V101" s="2">
        <f>'System Parameters'!L53</f>
        <v>0</v>
      </c>
    </row>
    <row r="102" customHeight="1" spans="1:22">
      <c r="A102" s="2">
        <f>'System Parameters'!A54</f>
        <v>0</v>
      </c>
      <c r="B102" s="2">
        <f>'System Parameters'!B54</f>
        <v>0</v>
      </c>
      <c r="C102" s="2">
        <f>'System Parameters'!C54</f>
        <v>0</v>
      </c>
      <c r="D102" s="2">
        <f>'System Parameters'!D54</f>
        <v>0</v>
      </c>
      <c r="O102" s="2">
        <f>'System Parameters'!E54</f>
        <v>0</v>
      </c>
      <c r="P102" s="2">
        <f>'System Parameters'!F54</f>
        <v>0</v>
      </c>
      <c r="Q102" s="2">
        <f>'System Parameters'!G54</f>
        <v>0</v>
      </c>
      <c r="R102" s="2">
        <f>'System Parameters'!H54</f>
        <v>0</v>
      </c>
      <c r="S102" s="2">
        <f>'System Parameters'!I54</f>
        <v>0</v>
      </c>
      <c r="T102" s="2">
        <f>'System Parameters'!J54</f>
        <v>0</v>
      </c>
      <c r="U102" s="2">
        <f>'System Parameters'!K54</f>
        <v>0</v>
      </c>
      <c r="V102" s="2">
        <f>'System Parameters'!L54</f>
        <v>0</v>
      </c>
    </row>
    <row r="103" customHeight="1" spans="1:22">
      <c r="A103" s="2">
        <f>'System Parameters'!A55</f>
        <v>0</v>
      </c>
      <c r="B103" s="2">
        <f>'System Parameters'!B55</f>
        <v>0</v>
      </c>
      <c r="C103" s="2">
        <f>'System Parameters'!C55</f>
        <v>0</v>
      </c>
      <c r="D103" s="2">
        <f>'System Parameters'!D55</f>
        <v>0</v>
      </c>
      <c r="O103" s="2">
        <f>'System Parameters'!E55</f>
        <v>0</v>
      </c>
      <c r="P103" s="2">
        <f>'System Parameters'!F55</f>
        <v>0</v>
      </c>
      <c r="Q103" s="2">
        <f>'System Parameters'!G55</f>
        <v>0</v>
      </c>
      <c r="R103" s="2">
        <f>'System Parameters'!H55</f>
        <v>0</v>
      </c>
      <c r="S103" s="2">
        <f>'System Parameters'!I55</f>
        <v>0</v>
      </c>
      <c r="T103" s="2">
        <f>'System Parameters'!J55</f>
        <v>0</v>
      </c>
      <c r="U103" s="2">
        <f>'System Parameters'!K55</f>
        <v>0</v>
      </c>
      <c r="V103" s="2">
        <f>'System Parameters'!L55</f>
        <v>0</v>
      </c>
    </row>
    <row r="104" customHeight="1" spans="1:22">
      <c r="A104" s="2">
        <f>'System Parameters'!A56</f>
        <v>0</v>
      </c>
      <c r="B104" s="2">
        <f>'System Parameters'!B56</f>
        <v>0</v>
      </c>
      <c r="C104" s="2">
        <f>'System Parameters'!C56</f>
        <v>0</v>
      </c>
      <c r="D104" s="2">
        <f>'System Parameters'!D56</f>
        <v>0</v>
      </c>
      <c r="O104" s="2">
        <f>'System Parameters'!E56</f>
        <v>0</v>
      </c>
      <c r="P104" s="2">
        <f>'System Parameters'!F56</f>
        <v>0</v>
      </c>
      <c r="Q104" s="2">
        <f>'System Parameters'!G56</f>
        <v>0</v>
      </c>
      <c r="R104" s="2">
        <f>'System Parameters'!H56</f>
        <v>0</v>
      </c>
      <c r="S104" s="2">
        <f>'System Parameters'!I56</f>
        <v>0</v>
      </c>
      <c r="T104" s="2">
        <f>'System Parameters'!J56</f>
        <v>0</v>
      </c>
      <c r="U104" s="2">
        <f>'System Parameters'!K56</f>
        <v>0</v>
      </c>
      <c r="V104" s="2">
        <f>'System Parameters'!L56</f>
        <v>0</v>
      </c>
    </row>
    <row r="105" customHeight="1" spans="1:22">
      <c r="A105" s="2">
        <f>'System Parameters'!A57</f>
        <v>0</v>
      </c>
      <c r="B105" s="2">
        <f>'System Parameters'!B57</f>
        <v>0</v>
      </c>
      <c r="C105" s="2">
        <f>'System Parameters'!C57</f>
        <v>0</v>
      </c>
      <c r="D105" s="2">
        <f>'System Parameters'!D57</f>
        <v>0</v>
      </c>
      <c r="O105" s="2">
        <f>'System Parameters'!E57</f>
        <v>0</v>
      </c>
      <c r="P105" s="2">
        <f>'System Parameters'!F57</f>
        <v>0</v>
      </c>
      <c r="Q105" s="2">
        <f>'System Parameters'!G57</f>
        <v>0</v>
      </c>
      <c r="R105" s="2">
        <f>'System Parameters'!H57</f>
        <v>0</v>
      </c>
      <c r="S105" s="2">
        <f>'System Parameters'!I57</f>
        <v>0</v>
      </c>
      <c r="T105" s="2">
        <f>'System Parameters'!J57</f>
        <v>0</v>
      </c>
      <c r="U105" s="2">
        <f>'System Parameters'!K57</f>
        <v>0</v>
      </c>
      <c r="V105" s="2">
        <f>'System Parameters'!L57</f>
        <v>0</v>
      </c>
    </row>
    <row r="106" customHeight="1" spans="1:22">
      <c r="A106" s="2">
        <f>'System Parameters'!A58</f>
        <v>0</v>
      </c>
      <c r="B106" s="2">
        <f>'System Parameters'!B58</f>
        <v>0</v>
      </c>
      <c r="C106" s="2">
        <f>'System Parameters'!C58</f>
        <v>0</v>
      </c>
      <c r="D106" s="2">
        <f>'System Parameters'!D58</f>
        <v>0</v>
      </c>
      <c r="O106" s="2">
        <f>'System Parameters'!E58</f>
        <v>0</v>
      </c>
      <c r="P106" s="2">
        <f>'System Parameters'!F58</f>
        <v>0</v>
      </c>
      <c r="Q106" s="2">
        <f>'System Parameters'!G58</f>
        <v>0</v>
      </c>
      <c r="R106" s="2">
        <f>'System Parameters'!H58</f>
        <v>0</v>
      </c>
      <c r="S106" s="2">
        <f>'System Parameters'!I58</f>
        <v>0</v>
      </c>
      <c r="T106" s="2">
        <f>'System Parameters'!J58</f>
        <v>0</v>
      </c>
      <c r="U106" s="2">
        <f>'System Parameters'!K58</f>
        <v>0</v>
      </c>
      <c r="V106" s="2">
        <f>'System Parameters'!L58</f>
        <v>0</v>
      </c>
    </row>
    <row r="107" customHeight="1" spans="1:22">
      <c r="A107" s="2">
        <f>'System Parameters'!A59</f>
        <v>0</v>
      </c>
      <c r="B107" s="2">
        <f>'System Parameters'!B59</f>
        <v>0</v>
      </c>
      <c r="C107" s="2">
        <f>'System Parameters'!C59</f>
        <v>0</v>
      </c>
      <c r="D107" s="2">
        <f>'System Parameters'!D59</f>
        <v>0</v>
      </c>
      <c r="O107" s="2">
        <f>'System Parameters'!E59</f>
        <v>0</v>
      </c>
      <c r="P107" s="2">
        <f>'System Parameters'!F59</f>
        <v>0</v>
      </c>
      <c r="Q107" s="2">
        <f>'System Parameters'!G59</f>
        <v>0</v>
      </c>
      <c r="R107" s="2">
        <f>'System Parameters'!H59</f>
        <v>0</v>
      </c>
      <c r="S107" s="2">
        <f>'System Parameters'!I59</f>
        <v>0</v>
      </c>
      <c r="T107" s="2">
        <f>'System Parameters'!J59</f>
        <v>0</v>
      </c>
      <c r="U107" s="2">
        <f>'System Parameters'!K59</f>
        <v>0</v>
      </c>
      <c r="V107" s="2">
        <f>'System Parameters'!L59</f>
        <v>0</v>
      </c>
    </row>
    <row r="108" customHeight="1" spans="1:22">
      <c r="A108" s="2">
        <f>'System Parameters'!A60</f>
        <v>0</v>
      </c>
      <c r="B108" s="2">
        <f>'System Parameters'!B60</f>
        <v>0</v>
      </c>
      <c r="C108" s="2">
        <f>'System Parameters'!C60</f>
        <v>0</v>
      </c>
      <c r="D108" s="2">
        <f>'System Parameters'!D60</f>
        <v>0</v>
      </c>
      <c r="O108" s="2">
        <f>'System Parameters'!E60</f>
        <v>0</v>
      </c>
      <c r="P108" s="2">
        <f>'System Parameters'!F60</f>
        <v>0</v>
      </c>
      <c r="Q108" s="2">
        <f>'System Parameters'!G60</f>
        <v>0</v>
      </c>
      <c r="R108" s="2">
        <f>'System Parameters'!H60</f>
        <v>0</v>
      </c>
      <c r="S108" s="2">
        <f>'System Parameters'!I60</f>
        <v>0</v>
      </c>
      <c r="T108" s="2">
        <f>'System Parameters'!J60</f>
        <v>0</v>
      </c>
      <c r="U108" s="2">
        <f>'System Parameters'!K60</f>
        <v>0</v>
      </c>
      <c r="V108" s="2">
        <f>'System Parameters'!L60</f>
        <v>0</v>
      </c>
    </row>
    <row r="109" customHeight="1" spans="1:22">
      <c r="A109" s="2">
        <f>'System Parameters'!A61</f>
        <v>0</v>
      </c>
      <c r="B109" s="2">
        <f>'System Parameters'!B61</f>
        <v>0</v>
      </c>
      <c r="C109" s="2">
        <f>'System Parameters'!C61</f>
        <v>0</v>
      </c>
      <c r="D109" s="2">
        <f>'System Parameters'!D61</f>
        <v>0</v>
      </c>
      <c r="O109" s="2">
        <f>'System Parameters'!E61</f>
        <v>0</v>
      </c>
      <c r="P109" s="2">
        <f>'System Parameters'!F61</f>
        <v>0</v>
      </c>
      <c r="Q109" s="2">
        <f>'System Parameters'!G61</f>
        <v>0</v>
      </c>
      <c r="R109" s="2">
        <f>'System Parameters'!H61</f>
        <v>0</v>
      </c>
      <c r="S109" s="2">
        <f>'System Parameters'!I61</f>
        <v>0</v>
      </c>
      <c r="T109" s="2">
        <f>'System Parameters'!J61</f>
        <v>0</v>
      </c>
      <c r="U109" s="2">
        <f>'System Parameters'!K61</f>
        <v>0</v>
      </c>
      <c r="V109" s="2">
        <f>'System Parameters'!L61</f>
        <v>0</v>
      </c>
    </row>
    <row r="110" customHeight="1" spans="1:22">
      <c r="A110" s="2">
        <f>'System Parameters'!A62</f>
        <v>0</v>
      </c>
      <c r="B110" s="2">
        <f>'System Parameters'!B62</f>
        <v>0</v>
      </c>
      <c r="C110" s="2">
        <f>'System Parameters'!C62</f>
        <v>0</v>
      </c>
      <c r="D110" s="2">
        <f>'System Parameters'!D62</f>
        <v>0</v>
      </c>
      <c r="O110" s="2">
        <f>'System Parameters'!E62</f>
        <v>0</v>
      </c>
      <c r="P110" s="2">
        <f>'System Parameters'!F62</f>
        <v>0</v>
      </c>
      <c r="Q110" s="2">
        <f>'System Parameters'!G62</f>
        <v>0</v>
      </c>
      <c r="R110" s="2">
        <f>'System Parameters'!H62</f>
        <v>0</v>
      </c>
      <c r="S110" s="2">
        <f>'System Parameters'!I62</f>
        <v>0</v>
      </c>
      <c r="T110" s="2">
        <f>'System Parameters'!J62</f>
        <v>0</v>
      </c>
      <c r="U110" s="2">
        <f>'System Parameters'!K62</f>
        <v>0</v>
      </c>
      <c r="V110" s="2">
        <f>'System Parameters'!L62</f>
        <v>0</v>
      </c>
    </row>
    <row r="111" customHeight="1" spans="1:22">
      <c r="A111" s="2">
        <f>'System Parameters'!A63</f>
        <v>0</v>
      </c>
      <c r="B111" s="2">
        <f>'System Parameters'!B63</f>
        <v>0</v>
      </c>
      <c r="C111" s="2">
        <f>'System Parameters'!C63</f>
        <v>0</v>
      </c>
      <c r="D111" s="2">
        <f>'System Parameters'!D63</f>
        <v>0</v>
      </c>
      <c r="O111" s="2">
        <f>'System Parameters'!E63</f>
        <v>0</v>
      </c>
      <c r="P111" s="2">
        <f>'System Parameters'!F63</f>
        <v>0</v>
      </c>
      <c r="Q111" s="2">
        <f>'System Parameters'!G63</f>
        <v>0</v>
      </c>
      <c r="R111" s="2">
        <f>'System Parameters'!H63</f>
        <v>0</v>
      </c>
      <c r="S111" s="2">
        <f>'System Parameters'!I63</f>
        <v>0</v>
      </c>
      <c r="T111" s="2">
        <f>'System Parameters'!J63</f>
        <v>0</v>
      </c>
      <c r="U111" s="2">
        <f>'System Parameters'!K63</f>
        <v>0</v>
      </c>
      <c r="V111" s="2">
        <f>'System Parameters'!L63</f>
        <v>0</v>
      </c>
    </row>
    <row r="112" customHeight="1" spans="1:22">
      <c r="A112" s="2">
        <f>'System Parameters'!A64</f>
        <v>0</v>
      </c>
      <c r="B112" s="2">
        <f>'System Parameters'!B64</f>
        <v>0</v>
      </c>
      <c r="C112" s="2">
        <f>'System Parameters'!C64</f>
        <v>0</v>
      </c>
      <c r="D112" s="2">
        <f>'System Parameters'!D64</f>
        <v>0</v>
      </c>
      <c r="O112" s="2">
        <f>'System Parameters'!E64</f>
        <v>0</v>
      </c>
      <c r="P112" s="2">
        <f>'System Parameters'!F64</f>
        <v>0</v>
      </c>
      <c r="Q112" s="2">
        <f>'System Parameters'!G64</f>
        <v>0</v>
      </c>
      <c r="R112" s="2">
        <f>'System Parameters'!H64</f>
        <v>0</v>
      </c>
      <c r="S112" s="2">
        <f>'System Parameters'!I64</f>
        <v>0</v>
      </c>
      <c r="T112" s="2">
        <f>'System Parameters'!J64</f>
        <v>0</v>
      </c>
      <c r="U112" s="2">
        <f>'System Parameters'!K64</f>
        <v>0</v>
      </c>
      <c r="V112" s="2">
        <f>'System Parameters'!L64</f>
        <v>0</v>
      </c>
    </row>
    <row r="113" customHeight="1" spans="1:22">
      <c r="A113" s="2">
        <f>'System Parameters'!A65</f>
        <v>0</v>
      </c>
      <c r="B113" s="2">
        <f>'System Parameters'!B65</f>
        <v>0</v>
      </c>
      <c r="C113" s="2">
        <f>'System Parameters'!C65</f>
        <v>0</v>
      </c>
      <c r="D113" s="2">
        <f>'System Parameters'!D65</f>
        <v>0</v>
      </c>
      <c r="O113" s="2">
        <f>'System Parameters'!E65</f>
        <v>0</v>
      </c>
      <c r="P113" s="2">
        <f>'System Parameters'!F65</f>
        <v>0</v>
      </c>
      <c r="Q113" s="2">
        <f>'System Parameters'!G65</f>
        <v>0</v>
      </c>
      <c r="R113" s="2">
        <f>'System Parameters'!H65</f>
        <v>0</v>
      </c>
      <c r="S113" s="2">
        <f>'System Parameters'!I65</f>
        <v>0</v>
      </c>
      <c r="T113" s="2">
        <f>'System Parameters'!J65</f>
        <v>0</v>
      </c>
      <c r="U113" s="2">
        <f>'System Parameters'!K65</f>
        <v>0</v>
      </c>
      <c r="V113" s="2">
        <f>'System Parameters'!L65</f>
        <v>0</v>
      </c>
    </row>
    <row r="114" customHeight="1" spans="1:22">
      <c r="A114" s="2">
        <f>'System Parameters'!A66</f>
        <v>0</v>
      </c>
      <c r="B114" s="2">
        <f>'System Parameters'!B66</f>
        <v>0</v>
      </c>
      <c r="C114" s="2">
        <f>'System Parameters'!C66</f>
        <v>0</v>
      </c>
      <c r="D114" s="2">
        <f>'System Parameters'!D66</f>
        <v>0</v>
      </c>
      <c r="O114" s="2">
        <f>'System Parameters'!E66</f>
        <v>0</v>
      </c>
      <c r="P114" s="2">
        <f>'System Parameters'!F66</f>
        <v>0</v>
      </c>
      <c r="Q114" s="2">
        <f>'System Parameters'!G66</f>
        <v>0</v>
      </c>
      <c r="R114" s="2">
        <f>'System Parameters'!H66</f>
        <v>0</v>
      </c>
      <c r="S114" s="2">
        <f>'System Parameters'!I66</f>
        <v>0</v>
      </c>
      <c r="T114" s="2">
        <f>'System Parameters'!J66</f>
        <v>0</v>
      </c>
      <c r="U114" s="2">
        <f>'System Parameters'!K66</f>
        <v>0</v>
      </c>
      <c r="V114" s="2">
        <f>'System Parameters'!L66</f>
        <v>0</v>
      </c>
    </row>
    <row r="115" customHeight="1" spans="1:22">
      <c r="A115" s="2">
        <f>'System Parameters'!A67</f>
        <v>0</v>
      </c>
      <c r="B115" s="2">
        <f>'System Parameters'!B67</f>
        <v>0</v>
      </c>
      <c r="C115" s="2">
        <f>'System Parameters'!C67</f>
        <v>0</v>
      </c>
      <c r="D115" s="2">
        <f>'System Parameters'!D67</f>
        <v>0</v>
      </c>
      <c r="O115" s="2">
        <f>'System Parameters'!E67</f>
        <v>0</v>
      </c>
      <c r="P115" s="2">
        <f>'System Parameters'!F67</f>
        <v>0</v>
      </c>
      <c r="Q115" s="2">
        <f>'System Parameters'!G67</f>
        <v>0</v>
      </c>
      <c r="R115" s="2">
        <f>'System Parameters'!H67</f>
        <v>0</v>
      </c>
      <c r="S115" s="2">
        <f>'System Parameters'!I67</f>
        <v>0</v>
      </c>
      <c r="T115" s="2">
        <f>'System Parameters'!J67</f>
        <v>0</v>
      </c>
      <c r="U115" s="2">
        <f>'System Parameters'!K67</f>
        <v>0</v>
      </c>
      <c r="V115" s="2">
        <f>'System Parameters'!L67</f>
        <v>0</v>
      </c>
    </row>
    <row r="116" customHeight="1" spans="1:22">
      <c r="A116" s="2">
        <f>'System Parameters'!A68</f>
        <v>0</v>
      </c>
      <c r="B116" s="2">
        <f>'System Parameters'!B68</f>
        <v>0</v>
      </c>
      <c r="C116" s="2">
        <f>'System Parameters'!C68</f>
        <v>0</v>
      </c>
      <c r="D116" s="2">
        <f>'System Parameters'!D68</f>
        <v>0</v>
      </c>
      <c r="O116" s="2">
        <f>'System Parameters'!E68</f>
        <v>0</v>
      </c>
      <c r="P116" s="2">
        <f>'System Parameters'!F68</f>
        <v>0</v>
      </c>
      <c r="Q116" s="2">
        <f>'System Parameters'!G68</f>
        <v>0</v>
      </c>
      <c r="R116" s="2">
        <f>'System Parameters'!H68</f>
        <v>0</v>
      </c>
      <c r="S116" s="2">
        <f>'System Parameters'!I68</f>
        <v>0</v>
      </c>
      <c r="T116" s="2">
        <f>'System Parameters'!J68</f>
        <v>0</v>
      </c>
      <c r="U116" s="2">
        <f>'System Parameters'!K68</f>
        <v>0</v>
      </c>
      <c r="V116" s="2">
        <f>'System Parameters'!L68</f>
        <v>0</v>
      </c>
    </row>
    <row r="117" customHeight="1" spans="1:22">
      <c r="A117" s="2">
        <f>'System Parameters'!A69</f>
        <v>0</v>
      </c>
      <c r="B117" s="2">
        <f>'System Parameters'!B69</f>
        <v>0</v>
      </c>
      <c r="C117" s="2">
        <f>'System Parameters'!C69</f>
        <v>0</v>
      </c>
      <c r="D117" s="2">
        <f>'System Parameters'!D69</f>
        <v>0</v>
      </c>
      <c r="O117" s="2">
        <f>'System Parameters'!E69</f>
        <v>0</v>
      </c>
      <c r="P117" s="2">
        <f>'System Parameters'!F69</f>
        <v>0</v>
      </c>
      <c r="Q117" s="2">
        <f>'System Parameters'!G69</f>
        <v>0</v>
      </c>
      <c r="R117" s="2">
        <f>'System Parameters'!H69</f>
        <v>0</v>
      </c>
      <c r="S117" s="2">
        <f>'System Parameters'!I69</f>
        <v>0</v>
      </c>
      <c r="T117" s="2">
        <f>'System Parameters'!J69</f>
        <v>0</v>
      </c>
      <c r="U117" s="2">
        <f>'System Parameters'!K69</f>
        <v>0</v>
      </c>
      <c r="V117" s="2">
        <f>'System Parameters'!L69</f>
        <v>0</v>
      </c>
    </row>
    <row r="118" customHeight="1" spans="1:22">
      <c r="A118" s="2">
        <f>'System Parameters'!A70</f>
        <v>0</v>
      </c>
      <c r="B118" s="2">
        <f>'System Parameters'!B70</f>
        <v>0</v>
      </c>
      <c r="C118" s="2">
        <f>'System Parameters'!C70</f>
        <v>0</v>
      </c>
      <c r="D118" s="2">
        <f>'System Parameters'!D70</f>
        <v>0</v>
      </c>
      <c r="O118" s="2">
        <f>'System Parameters'!E70</f>
        <v>0</v>
      </c>
      <c r="P118" s="2">
        <f>'System Parameters'!F70</f>
        <v>0</v>
      </c>
      <c r="Q118" s="2">
        <f>'System Parameters'!G70</f>
        <v>0</v>
      </c>
      <c r="R118" s="2">
        <f>'System Parameters'!H70</f>
        <v>0</v>
      </c>
      <c r="S118" s="2">
        <f>'System Parameters'!I70</f>
        <v>0</v>
      </c>
      <c r="T118" s="2">
        <f>'System Parameters'!J70</f>
        <v>0</v>
      </c>
      <c r="U118" s="2">
        <f>'System Parameters'!K70</f>
        <v>0</v>
      </c>
      <c r="V118" s="2">
        <f>'System Parameters'!L70</f>
        <v>0</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System Parameters</vt:lpstr>
      <vt:lpstr>Sensitivity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Qianyu_</cp:lastModifiedBy>
  <dcterms:created xsi:type="dcterms:W3CDTF">2026-02-07T04:32:00Z</dcterms:created>
  <dcterms:modified xsi:type="dcterms:W3CDTF">2026-02-08T19:47:24Z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895D5D2BC2D643A7BA6EC1CB2BC183B2_13</vt:lpwstr>
  </property>
  <property fmtid="{D5CDD505-2E9C-101B-9397-08002B2CF9AE}" pid="3" name="KSOProductBuildVer">
    <vt:lpwstr>2052-12.1.0.25225</vt:lpwstr>
  </property>
  <property fmtid="{D5CDD505-2E9C-101B-9397-08002B2CF9AE}" pid="4" name="CalculationRule">
    <vt:i4>0</vt:i4>
  </property>
</Properties>
</file>